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-CUBE\7_Cours\Programmation Mines\200300 Stockage gaz\4c_Doc-EC\"/>
    </mc:Choice>
  </mc:AlternateContent>
  <xr:revisionPtr revIDLastSave="0" documentId="13_ncr:1_{F2D762DD-94A6-43FC-A011-B13302538789}" xr6:coauthVersionLast="44" xr6:coauthVersionMax="44" xr10:uidLastSave="{00000000-0000-0000-0000-000000000000}"/>
  <bookViews>
    <workbookView xWindow="-110" yWindow="-110" windowWidth="19420" windowHeight="10420" xr2:uid="{B136CE82-DF83-4C66-A993-D299FE60623B}"/>
  </bookViews>
  <sheets>
    <sheet name="Saline" sheetId="1" r:id="rId1"/>
  </sheets>
  <functionGroups builtInGroupCount="19"/>
  <externalReferences>
    <externalReference r:id="rId2"/>
  </externalReferenc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B246" i="1" l="1"/>
  <c r="NA246" i="1"/>
  <c r="MZ246" i="1"/>
  <c r="MY246" i="1"/>
  <c r="MX246" i="1"/>
  <c r="MW246" i="1"/>
  <c r="MV246" i="1"/>
  <c r="MU246" i="1"/>
  <c r="MT246" i="1"/>
  <c r="MS246" i="1"/>
  <c r="MR246" i="1"/>
  <c r="MQ246" i="1"/>
  <c r="MP246" i="1"/>
  <c r="MO246" i="1"/>
  <c r="MN246" i="1"/>
  <c r="MM246" i="1"/>
  <c r="ML246" i="1"/>
  <c r="MK246" i="1"/>
  <c r="MJ246" i="1"/>
  <c r="MI246" i="1"/>
  <c r="MH246" i="1"/>
  <c r="MG246" i="1"/>
  <c r="MF246" i="1"/>
  <c r="ME246" i="1"/>
  <c r="MD246" i="1"/>
  <c r="MC246" i="1"/>
  <c r="MB246" i="1"/>
  <c r="MA246" i="1"/>
  <c r="LZ246" i="1"/>
  <c r="LY246" i="1"/>
  <c r="LX246" i="1"/>
  <c r="LW246" i="1"/>
  <c r="LV246" i="1"/>
  <c r="LU246" i="1"/>
  <c r="LT246" i="1"/>
  <c r="LS246" i="1"/>
  <c r="LR246" i="1"/>
  <c r="LQ246" i="1"/>
  <c r="LP246" i="1"/>
  <c r="LO246" i="1"/>
  <c r="LN246" i="1"/>
  <c r="LM246" i="1"/>
  <c r="LL246" i="1"/>
  <c r="LK246" i="1"/>
  <c r="LJ246" i="1"/>
  <c r="LI246" i="1"/>
  <c r="LH246" i="1"/>
  <c r="LG246" i="1"/>
  <c r="LF246" i="1"/>
  <c r="LE246" i="1"/>
  <c r="LD246" i="1"/>
  <c r="LC246" i="1"/>
  <c r="LB246" i="1"/>
  <c r="LA246" i="1"/>
  <c r="KZ246" i="1"/>
  <c r="KY246" i="1"/>
  <c r="KX246" i="1"/>
  <c r="KW246" i="1"/>
  <c r="KV246" i="1"/>
  <c r="KU246" i="1"/>
  <c r="KT246" i="1"/>
  <c r="KS246" i="1"/>
  <c r="KR246" i="1"/>
  <c r="KQ246" i="1"/>
  <c r="KP246" i="1"/>
  <c r="KO246" i="1"/>
  <c r="KN246" i="1"/>
  <c r="KM246" i="1"/>
  <c r="KL246" i="1"/>
  <c r="KK246" i="1"/>
  <c r="KJ246" i="1"/>
  <c r="KI246" i="1"/>
  <c r="KH246" i="1"/>
  <c r="KG246" i="1"/>
  <c r="KF246" i="1"/>
  <c r="KE246" i="1"/>
  <c r="KD246" i="1"/>
  <c r="KC246" i="1"/>
  <c r="KB246" i="1"/>
  <c r="KA246" i="1"/>
  <c r="JZ246" i="1"/>
  <c r="JY246" i="1"/>
  <c r="JX246" i="1"/>
  <c r="JW246" i="1"/>
  <c r="JV246" i="1"/>
  <c r="JU246" i="1"/>
  <c r="JT246" i="1"/>
  <c r="JS246" i="1"/>
  <c r="JR246" i="1"/>
  <c r="JQ246" i="1"/>
  <c r="JP246" i="1"/>
  <c r="JO246" i="1"/>
  <c r="JN246" i="1"/>
  <c r="JM246" i="1"/>
  <c r="JL246" i="1"/>
  <c r="JK246" i="1"/>
  <c r="JJ246" i="1"/>
  <c r="JI246" i="1"/>
  <c r="JH246" i="1"/>
  <c r="JG246" i="1"/>
  <c r="JF246" i="1"/>
  <c r="JE246" i="1"/>
  <c r="JD246" i="1"/>
  <c r="JC246" i="1"/>
  <c r="JB246" i="1"/>
  <c r="JA246" i="1"/>
  <c r="IZ246" i="1"/>
  <c r="IY246" i="1"/>
  <c r="IX246" i="1"/>
  <c r="IW246" i="1"/>
  <c r="IV246" i="1"/>
  <c r="IU246" i="1"/>
  <c r="IT246" i="1"/>
  <c r="IS246" i="1"/>
  <c r="IR246" i="1"/>
  <c r="IQ246" i="1"/>
  <c r="IP246" i="1"/>
  <c r="IO246" i="1"/>
  <c r="IN246" i="1"/>
  <c r="IM246" i="1"/>
  <c r="IL246" i="1"/>
  <c r="IK246" i="1"/>
  <c r="IJ246" i="1"/>
  <c r="II246" i="1"/>
  <c r="IH246" i="1"/>
  <c r="IG246" i="1"/>
  <c r="IF246" i="1"/>
  <c r="IE246" i="1"/>
  <c r="ID246" i="1"/>
  <c r="IC246" i="1"/>
  <c r="IB246" i="1"/>
  <c r="IA246" i="1"/>
  <c r="HZ246" i="1"/>
  <c r="HY246" i="1"/>
  <c r="HX246" i="1"/>
  <c r="HW246" i="1"/>
  <c r="HV246" i="1"/>
  <c r="HU246" i="1"/>
  <c r="HT246" i="1"/>
  <c r="HS246" i="1"/>
  <c r="HR246" i="1"/>
  <c r="HQ246" i="1"/>
  <c r="HP246" i="1"/>
  <c r="HO246" i="1"/>
  <c r="HN246" i="1"/>
  <c r="HM246" i="1"/>
  <c r="HL246" i="1"/>
  <c r="HK246" i="1"/>
  <c r="HJ246" i="1"/>
  <c r="HI246" i="1"/>
  <c r="HH246" i="1"/>
  <c r="HG246" i="1"/>
  <c r="HF246" i="1"/>
  <c r="HE246" i="1"/>
  <c r="HD246" i="1"/>
  <c r="HC246" i="1"/>
  <c r="HB246" i="1"/>
  <c r="HA246" i="1"/>
  <c r="GZ246" i="1"/>
  <c r="GY246" i="1"/>
  <c r="GX246" i="1"/>
  <c r="GW246" i="1"/>
  <c r="GV246" i="1"/>
  <c r="GU246" i="1"/>
  <c r="GT246" i="1"/>
  <c r="GS246" i="1"/>
  <c r="GR246" i="1"/>
  <c r="GQ246" i="1"/>
  <c r="GP246" i="1"/>
  <c r="GO246" i="1"/>
  <c r="GN246" i="1"/>
  <c r="GM246" i="1"/>
  <c r="GL246" i="1"/>
  <c r="GK246" i="1"/>
  <c r="GJ246" i="1"/>
  <c r="GI246" i="1"/>
  <c r="GH246" i="1"/>
  <c r="GG246" i="1"/>
  <c r="GF246" i="1"/>
  <c r="GE246" i="1"/>
  <c r="GD246" i="1"/>
  <c r="GC246" i="1"/>
  <c r="GB246" i="1"/>
  <c r="GA246" i="1"/>
  <c r="FZ246" i="1"/>
  <c r="FY246" i="1"/>
  <c r="FX246" i="1"/>
  <c r="FW246" i="1"/>
  <c r="FV246" i="1"/>
  <c r="FU246" i="1"/>
  <c r="FT246" i="1"/>
  <c r="FS246" i="1"/>
  <c r="FR246" i="1"/>
  <c r="FQ246" i="1"/>
  <c r="FP246" i="1"/>
  <c r="FO246" i="1"/>
  <c r="FN246" i="1"/>
  <c r="FM246" i="1"/>
  <c r="FL246" i="1"/>
  <c r="FK246" i="1"/>
  <c r="FJ246" i="1"/>
  <c r="FI246" i="1"/>
  <c r="FH246" i="1"/>
  <c r="FG246" i="1"/>
  <c r="FF246" i="1"/>
  <c r="FE246" i="1"/>
  <c r="FD246" i="1"/>
  <c r="FC246" i="1"/>
  <c r="FB246" i="1"/>
  <c r="FA246" i="1"/>
  <c r="EZ246" i="1"/>
  <c r="EY246" i="1"/>
  <c r="EX246" i="1"/>
  <c r="EW246" i="1"/>
  <c r="EV246" i="1"/>
  <c r="EU246" i="1"/>
  <c r="ET246" i="1"/>
  <c r="ES246" i="1"/>
  <c r="ER246" i="1"/>
  <c r="EQ246" i="1"/>
  <c r="EP246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G246" i="1"/>
  <c r="DF246" i="1"/>
  <c r="DE246" i="1"/>
  <c r="DD246" i="1"/>
  <c r="DC246" i="1"/>
  <c r="DB246" i="1"/>
  <c r="DA246" i="1"/>
  <c r="CZ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W246" i="1"/>
  <c r="BV246" i="1"/>
  <c r="BU246" i="1"/>
  <c r="BT246" i="1"/>
  <c r="BS246" i="1"/>
  <c r="BR246" i="1"/>
  <c r="BQ246" i="1"/>
  <c r="BP246" i="1"/>
  <c r="BO246" i="1"/>
  <c r="BN246" i="1"/>
  <c r="BM246" i="1"/>
  <c r="BL246" i="1"/>
  <c r="BK246" i="1"/>
  <c r="BJ246" i="1"/>
  <c r="BI246" i="1"/>
  <c r="BH246" i="1"/>
  <c r="BG246" i="1"/>
  <c r="BF246" i="1"/>
  <c r="BE246" i="1"/>
  <c r="BD246" i="1"/>
  <c r="BC246" i="1"/>
  <c r="BB246" i="1"/>
  <c r="BA246" i="1"/>
  <c r="AZ246" i="1"/>
  <c r="AY246" i="1"/>
  <c r="AX246" i="1"/>
  <c r="AW246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NB245" i="1"/>
  <c r="NB257" i="1" s="1"/>
  <c r="NA245" i="1"/>
  <c r="MZ245" i="1"/>
  <c r="MY245" i="1"/>
  <c r="MX245" i="1"/>
  <c r="MW245" i="1"/>
  <c r="MV245" i="1"/>
  <c r="MU245" i="1"/>
  <c r="MT245" i="1"/>
  <c r="MS245" i="1"/>
  <c r="MR245" i="1"/>
  <c r="MQ245" i="1"/>
  <c r="MP245" i="1"/>
  <c r="MO245" i="1"/>
  <c r="MN245" i="1"/>
  <c r="MM245" i="1"/>
  <c r="ML245" i="1"/>
  <c r="MK245" i="1"/>
  <c r="MJ245" i="1"/>
  <c r="MI245" i="1"/>
  <c r="MH245" i="1"/>
  <c r="MG245" i="1"/>
  <c r="MF245" i="1"/>
  <c r="ME245" i="1"/>
  <c r="MD245" i="1"/>
  <c r="MC245" i="1"/>
  <c r="MB245" i="1"/>
  <c r="MA245" i="1"/>
  <c r="LZ245" i="1"/>
  <c r="LY245" i="1"/>
  <c r="LX245" i="1"/>
  <c r="LW245" i="1"/>
  <c r="LV245" i="1"/>
  <c r="LU245" i="1"/>
  <c r="LT245" i="1"/>
  <c r="LS245" i="1"/>
  <c r="LR245" i="1"/>
  <c r="LQ245" i="1"/>
  <c r="LP245" i="1"/>
  <c r="LO245" i="1"/>
  <c r="LN245" i="1"/>
  <c r="LM245" i="1"/>
  <c r="LL245" i="1"/>
  <c r="LK245" i="1"/>
  <c r="LJ245" i="1"/>
  <c r="LI245" i="1"/>
  <c r="LH245" i="1"/>
  <c r="LG245" i="1"/>
  <c r="LF245" i="1"/>
  <c r="LE245" i="1"/>
  <c r="LD245" i="1"/>
  <c r="LC245" i="1"/>
  <c r="LB245" i="1"/>
  <c r="LA245" i="1"/>
  <c r="KZ245" i="1"/>
  <c r="KY245" i="1"/>
  <c r="KX245" i="1"/>
  <c r="KW245" i="1"/>
  <c r="KV245" i="1"/>
  <c r="KU245" i="1"/>
  <c r="KT245" i="1"/>
  <c r="KS245" i="1"/>
  <c r="KR245" i="1"/>
  <c r="KQ245" i="1"/>
  <c r="KP245" i="1"/>
  <c r="KO245" i="1"/>
  <c r="KN245" i="1"/>
  <c r="KM245" i="1"/>
  <c r="KL245" i="1"/>
  <c r="KK245" i="1"/>
  <c r="KJ245" i="1"/>
  <c r="KI245" i="1"/>
  <c r="KH245" i="1"/>
  <c r="KG245" i="1"/>
  <c r="KF245" i="1"/>
  <c r="KE245" i="1"/>
  <c r="KD245" i="1"/>
  <c r="KC245" i="1"/>
  <c r="KB245" i="1"/>
  <c r="KA245" i="1"/>
  <c r="JZ245" i="1"/>
  <c r="JY245" i="1"/>
  <c r="JX245" i="1"/>
  <c r="JW245" i="1"/>
  <c r="JV245" i="1"/>
  <c r="JU245" i="1"/>
  <c r="JT245" i="1"/>
  <c r="JS245" i="1"/>
  <c r="JR245" i="1"/>
  <c r="JQ245" i="1"/>
  <c r="JP245" i="1"/>
  <c r="JO245" i="1"/>
  <c r="JN245" i="1"/>
  <c r="JM245" i="1"/>
  <c r="JL245" i="1"/>
  <c r="JK245" i="1"/>
  <c r="JJ245" i="1"/>
  <c r="JI245" i="1"/>
  <c r="JH245" i="1"/>
  <c r="JG245" i="1"/>
  <c r="JF245" i="1"/>
  <c r="JE245" i="1"/>
  <c r="JD245" i="1"/>
  <c r="JC245" i="1"/>
  <c r="JB245" i="1"/>
  <c r="JA245" i="1"/>
  <c r="IZ245" i="1"/>
  <c r="IY245" i="1"/>
  <c r="IX245" i="1"/>
  <c r="IW245" i="1"/>
  <c r="IV245" i="1"/>
  <c r="IU245" i="1"/>
  <c r="IT245" i="1"/>
  <c r="IS245" i="1"/>
  <c r="IR245" i="1"/>
  <c r="IQ245" i="1"/>
  <c r="IP245" i="1"/>
  <c r="IO245" i="1"/>
  <c r="IN245" i="1"/>
  <c r="IM245" i="1"/>
  <c r="IL245" i="1"/>
  <c r="IK245" i="1"/>
  <c r="IJ245" i="1"/>
  <c r="II245" i="1"/>
  <c r="IH245" i="1"/>
  <c r="IG245" i="1"/>
  <c r="IF245" i="1"/>
  <c r="IE245" i="1"/>
  <c r="ID245" i="1"/>
  <c r="IC245" i="1"/>
  <c r="IB245" i="1"/>
  <c r="IA245" i="1"/>
  <c r="HZ245" i="1"/>
  <c r="HY245" i="1"/>
  <c r="HX245" i="1"/>
  <c r="HW245" i="1"/>
  <c r="HV245" i="1"/>
  <c r="HU245" i="1"/>
  <c r="HT245" i="1"/>
  <c r="HS245" i="1"/>
  <c r="HR245" i="1"/>
  <c r="HQ245" i="1"/>
  <c r="HP245" i="1"/>
  <c r="HO245" i="1"/>
  <c r="HN245" i="1"/>
  <c r="HM245" i="1"/>
  <c r="HL245" i="1"/>
  <c r="HK245" i="1"/>
  <c r="HJ245" i="1"/>
  <c r="HI245" i="1"/>
  <c r="HH245" i="1"/>
  <c r="HG245" i="1"/>
  <c r="HF245" i="1"/>
  <c r="HE245" i="1"/>
  <c r="HD245" i="1"/>
  <c r="HC245" i="1"/>
  <c r="HB245" i="1"/>
  <c r="HA245" i="1"/>
  <c r="GZ245" i="1"/>
  <c r="GY245" i="1"/>
  <c r="GX245" i="1"/>
  <c r="GW245" i="1"/>
  <c r="GV245" i="1"/>
  <c r="GU245" i="1"/>
  <c r="GT245" i="1"/>
  <c r="GS245" i="1"/>
  <c r="GR245" i="1"/>
  <c r="GQ245" i="1"/>
  <c r="GP245" i="1"/>
  <c r="GO245" i="1"/>
  <c r="GN245" i="1"/>
  <c r="GM245" i="1"/>
  <c r="GL245" i="1"/>
  <c r="GK245" i="1"/>
  <c r="GJ245" i="1"/>
  <c r="GI245" i="1"/>
  <c r="GH245" i="1"/>
  <c r="GG245" i="1"/>
  <c r="GF245" i="1"/>
  <c r="GE245" i="1"/>
  <c r="GD245" i="1"/>
  <c r="GC245" i="1"/>
  <c r="GB245" i="1"/>
  <c r="GA245" i="1"/>
  <c r="FZ245" i="1"/>
  <c r="FY245" i="1"/>
  <c r="FX245" i="1"/>
  <c r="FW245" i="1"/>
  <c r="FV245" i="1"/>
  <c r="FU245" i="1"/>
  <c r="FT245" i="1"/>
  <c r="FS245" i="1"/>
  <c r="FR245" i="1"/>
  <c r="FQ245" i="1"/>
  <c r="FP245" i="1"/>
  <c r="FO245" i="1"/>
  <c r="FN245" i="1"/>
  <c r="FM245" i="1"/>
  <c r="FL245" i="1"/>
  <c r="FK245" i="1"/>
  <c r="FJ245" i="1"/>
  <c r="FI245" i="1"/>
  <c r="FH245" i="1"/>
  <c r="FG245" i="1"/>
  <c r="FF245" i="1"/>
  <c r="FE245" i="1"/>
  <c r="FD245" i="1"/>
  <c r="FC245" i="1"/>
  <c r="FB245" i="1"/>
  <c r="FA245" i="1"/>
  <c r="EZ245" i="1"/>
  <c r="EY245" i="1"/>
  <c r="EX245" i="1"/>
  <c r="EW245" i="1"/>
  <c r="EV245" i="1"/>
  <c r="EU245" i="1"/>
  <c r="ET245" i="1"/>
  <c r="ES245" i="1"/>
  <c r="ER245" i="1"/>
  <c r="EQ245" i="1"/>
  <c r="EP245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G245" i="1"/>
  <c r="DF245" i="1"/>
  <c r="DE245" i="1"/>
  <c r="DD245" i="1"/>
  <c r="DC245" i="1"/>
  <c r="DB245" i="1"/>
  <c r="DA245" i="1"/>
  <c r="CZ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BW245" i="1"/>
  <c r="BV245" i="1"/>
  <c r="BU245" i="1"/>
  <c r="BT245" i="1"/>
  <c r="BS245" i="1"/>
  <c r="BR245" i="1"/>
  <c r="BQ245" i="1"/>
  <c r="BP245" i="1"/>
  <c r="BO245" i="1"/>
  <c r="BN245" i="1"/>
  <c r="BM245" i="1"/>
  <c r="BL245" i="1"/>
  <c r="BK245" i="1"/>
  <c r="BJ245" i="1"/>
  <c r="BI245" i="1"/>
  <c r="BH245" i="1"/>
  <c r="BG245" i="1"/>
  <c r="BF245" i="1"/>
  <c r="BE245" i="1"/>
  <c r="BD245" i="1"/>
  <c r="BC245" i="1"/>
  <c r="BB245" i="1"/>
  <c r="BA245" i="1"/>
  <c r="AZ245" i="1"/>
  <c r="AY245" i="1"/>
  <c r="AX245" i="1"/>
  <c r="AW245" i="1"/>
  <c r="AV245" i="1"/>
  <c r="AU245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I218" i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F52" i="1"/>
  <c r="B52" i="1" s="1"/>
  <c r="C52" i="1" s="1"/>
  <c r="E30" i="1"/>
  <c r="F30" i="1" s="1"/>
  <c r="B30" i="1" s="1"/>
  <c r="C30" i="1" s="1"/>
  <c r="L29" i="1"/>
  <c r="H29" i="1" s="1"/>
  <c r="F29" i="1"/>
  <c r="B29" i="1" s="1"/>
  <c r="E29" i="1"/>
  <c r="K22" i="1"/>
  <c r="L21" i="1"/>
  <c r="K21" i="1"/>
  <c r="I21" i="1"/>
  <c r="H21" i="1"/>
  <c r="D7" i="1"/>
  <c r="D5" i="1"/>
  <c r="R30" i="1"/>
  <c r="S130" i="1"/>
  <c r="S128" i="1"/>
  <c r="S126" i="1"/>
  <c r="S124" i="1"/>
  <c r="S122" i="1"/>
  <c r="S120" i="1"/>
  <c r="S118" i="1"/>
  <c r="S116" i="1"/>
  <c r="S114" i="1"/>
  <c r="S112" i="1"/>
  <c r="S110" i="1"/>
  <c r="S108" i="1"/>
  <c r="S106" i="1"/>
  <c r="S104" i="1"/>
  <c r="S102" i="1"/>
  <c r="S100" i="1"/>
  <c r="S98" i="1"/>
  <c r="S96" i="1"/>
  <c r="S94" i="1"/>
  <c r="S92" i="1"/>
  <c r="S90" i="1"/>
  <c r="S88" i="1"/>
  <c r="S86" i="1"/>
  <c r="S84" i="1"/>
  <c r="S82" i="1"/>
  <c r="S80" i="1"/>
  <c r="S78" i="1"/>
  <c r="S76" i="1"/>
  <c r="S74" i="1"/>
  <c r="S72" i="1"/>
  <c r="S70" i="1"/>
  <c r="S68" i="1"/>
  <c r="S66" i="1"/>
  <c r="S64" i="1"/>
  <c r="S62" i="1"/>
  <c r="S60" i="1"/>
  <c r="S58" i="1"/>
  <c r="S56" i="1"/>
  <c r="S54" i="1"/>
  <c r="S52" i="1"/>
  <c r="R51" i="1"/>
  <c r="R49" i="1"/>
  <c r="R47" i="1"/>
  <c r="R45" i="1"/>
  <c r="R43" i="1"/>
  <c r="R41" i="1"/>
  <c r="R39" i="1"/>
  <c r="R37" i="1"/>
  <c r="R35" i="1"/>
  <c r="R33" i="1"/>
  <c r="R31" i="1"/>
  <c r="S44" i="1"/>
  <c r="S40" i="1"/>
  <c r="S36" i="1"/>
  <c r="S32" i="1"/>
  <c r="R127" i="1"/>
  <c r="R119" i="1"/>
  <c r="R113" i="1"/>
  <c r="R109" i="1"/>
  <c r="R101" i="1"/>
  <c r="R95" i="1"/>
  <c r="R87" i="1"/>
  <c r="R81" i="1"/>
  <c r="R77" i="1"/>
  <c r="R71" i="1"/>
  <c r="R63" i="1"/>
  <c r="R59" i="1"/>
  <c r="S51" i="1"/>
  <c r="S45" i="1"/>
  <c r="S39" i="1"/>
  <c r="S33" i="1"/>
  <c r="R130" i="1"/>
  <c r="R128" i="1"/>
  <c r="R126" i="1"/>
  <c r="R124" i="1"/>
  <c r="R122" i="1"/>
  <c r="R120" i="1"/>
  <c r="R118" i="1"/>
  <c r="R116" i="1"/>
  <c r="R114" i="1"/>
  <c r="R112" i="1"/>
  <c r="R110" i="1"/>
  <c r="R108" i="1"/>
  <c r="R106" i="1"/>
  <c r="R104" i="1"/>
  <c r="R102" i="1"/>
  <c r="R100" i="1"/>
  <c r="R98" i="1"/>
  <c r="R96" i="1"/>
  <c r="R94" i="1"/>
  <c r="R92" i="1"/>
  <c r="R90" i="1"/>
  <c r="R88" i="1"/>
  <c r="R86" i="1"/>
  <c r="R84" i="1"/>
  <c r="R82" i="1"/>
  <c r="R80" i="1"/>
  <c r="R78" i="1"/>
  <c r="R76" i="1"/>
  <c r="R74" i="1"/>
  <c r="R72" i="1"/>
  <c r="R70" i="1"/>
  <c r="R68" i="1"/>
  <c r="R66" i="1"/>
  <c r="R64" i="1"/>
  <c r="R62" i="1"/>
  <c r="R60" i="1"/>
  <c r="R58" i="1"/>
  <c r="R56" i="1"/>
  <c r="R54" i="1"/>
  <c r="R52" i="1"/>
  <c r="S50" i="1"/>
  <c r="S48" i="1"/>
  <c r="S46" i="1"/>
  <c r="S42" i="1"/>
  <c r="S38" i="1"/>
  <c r="S34" i="1"/>
  <c r="S30" i="1"/>
  <c r="R129" i="1"/>
  <c r="R123" i="1"/>
  <c r="R117" i="1"/>
  <c r="R111" i="1"/>
  <c r="R105" i="1"/>
  <c r="R103" i="1"/>
  <c r="R97" i="1"/>
  <c r="R91" i="1"/>
  <c r="R85" i="1"/>
  <c r="R79" i="1"/>
  <c r="R73" i="1"/>
  <c r="R67" i="1"/>
  <c r="R61" i="1"/>
  <c r="R55" i="1"/>
  <c r="S49" i="1"/>
  <c r="S43" i="1"/>
  <c r="S37" i="1"/>
  <c r="S31" i="1"/>
  <c r="S129" i="1"/>
  <c r="S127" i="1"/>
  <c r="S125" i="1"/>
  <c r="S123" i="1"/>
  <c r="S121" i="1"/>
  <c r="S119" i="1"/>
  <c r="S117" i="1"/>
  <c r="S115" i="1"/>
  <c r="S113" i="1"/>
  <c r="S111" i="1"/>
  <c r="S109" i="1"/>
  <c r="S107" i="1"/>
  <c r="S105" i="1"/>
  <c r="S103" i="1"/>
  <c r="S101" i="1"/>
  <c r="S99" i="1"/>
  <c r="S97" i="1"/>
  <c r="S95" i="1"/>
  <c r="S93" i="1"/>
  <c r="S91" i="1"/>
  <c r="S89" i="1"/>
  <c r="S87" i="1"/>
  <c r="S85" i="1"/>
  <c r="S83" i="1"/>
  <c r="S81" i="1"/>
  <c r="S79" i="1"/>
  <c r="S77" i="1"/>
  <c r="S75" i="1"/>
  <c r="S73" i="1"/>
  <c r="S71" i="1"/>
  <c r="S69" i="1"/>
  <c r="S67" i="1"/>
  <c r="S65" i="1"/>
  <c r="S63" i="1"/>
  <c r="S61" i="1"/>
  <c r="S59" i="1"/>
  <c r="S57" i="1"/>
  <c r="S55" i="1"/>
  <c r="S53" i="1"/>
  <c r="R50" i="1"/>
  <c r="R48" i="1"/>
  <c r="R46" i="1"/>
  <c r="R44" i="1"/>
  <c r="R42" i="1"/>
  <c r="R40" i="1"/>
  <c r="R38" i="1"/>
  <c r="R36" i="1"/>
  <c r="R34" i="1"/>
  <c r="R32" i="1"/>
  <c r="R125" i="1"/>
  <c r="R121" i="1"/>
  <c r="R115" i="1"/>
  <c r="R107" i="1"/>
  <c r="R99" i="1"/>
  <c r="R93" i="1"/>
  <c r="R89" i="1"/>
  <c r="R83" i="1"/>
  <c r="R75" i="1"/>
  <c r="R69" i="1"/>
  <c r="R65" i="1"/>
  <c r="R57" i="1"/>
  <c r="R53" i="1"/>
  <c r="S47" i="1"/>
  <c r="S41" i="1"/>
  <c r="S35" i="1"/>
  <c r="E31" i="1" l="1"/>
  <c r="J29" i="1"/>
  <c r="K30" i="1" s="1"/>
  <c r="L30" i="1" l="1"/>
  <c r="F31" i="1"/>
  <c r="B31" i="1" s="1"/>
  <c r="E32" i="1"/>
  <c r="HH257" i="1"/>
  <c r="HI257" i="1" l="1"/>
  <c r="H30" i="1"/>
  <c r="I30" i="1" s="1"/>
  <c r="J30" i="1"/>
  <c r="K31" i="1" s="1"/>
  <c r="E33" i="1"/>
  <c r="F32" i="1"/>
  <c r="B32" i="1" s="1"/>
  <c r="C32" i="1" s="1"/>
  <c r="C31" i="1"/>
  <c r="L31" i="1" l="1"/>
  <c r="HJ257" i="1"/>
  <c r="F33" i="1"/>
  <c r="B33" i="1" s="1"/>
  <c r="E34" i="1"/>
  <c r="HK257" i="1" l="1"/>
  <c r="F34" i="1"/>
  <c r="B34" i="1" s="1"/>
  <c r="C34" i="1" s="1"/>
  <c r="E35" i="1"/>
  <c r="C33" i="1"/>
  <c r="H31" i="1"/>
  <c r="I31" i="1" s="1"/>
  <c r="J31" i="1"/>
  <c r="K32" i="1" s="1"/>
  <c r="L32" i="1" l="1"/>
  <c r="F35" i="1"/>
  <c r="B35" i="1" s="1"/>
  <c r="C35" i="1" s="1"/>
  <c r="E36" i="1"/>
  <c r="HL257" i="1"/>
  <c r="E37" i="1" l="1"/>
  <c r="F36" i="1"/>
  <c r="B36" i="1" s="1"/>
  <c r="C36" i="1" s="1"/>
  <c r="HM257" i="1"/>
  <c r="H32" i="1"/>
  <c r="I32" i="1" s="1"/>
  <c r="J32" i="1"/>
  <c r="K33" i="1" s="1"/>
  <c r="L33" i="1" l="1"/>
  <c r="HN257" i="1"/>
  <c r="E38" i="1"/>
  <c r="F37" i="1"/>
  <c r="B37" i="1" s="1"/>
  <c r="C37" i="1" s="1"/>
  <c r="HO257" i="1" l="1"/>
  <c r="F38" i="1"/>
  <c r="B38" i="1" s="1"/>
  <c r="C38" i="1" s="1"/>
  <c r="E39" i="1"/>
  <c r="H33" i="1"/>
  <c r="I33" i="1" s="1"/>
  <c r="J33" i="1"/>
  <c r="K34" i="1" s="1"/>
  <c r="E40" i="1" l="1"/>
  <c r="F39" i="1"/>
  <c r="B39" i="1" s="1"/>
  <c r="C39" i="1" s="1"/>
  <c r="L34" i="1"/>
  <c r="HP257" i="1"/>
  <c r="H34" i="1" l="1"/>
  <c r="I34" i="1" s="1"/>
  <c r="J34" i="1"/>
  <c r="K35" i="1" s="1"/>
  <c r="HQ257" i="1"/>
  <c r="E41" i="1"/>
  <c r="F40" i="1"/>
  <c r="B40" i="1" s="1"/>
  <c r="C40" i="1" s="1"/>
  <c r="F41" i="1" l="1"/>
  <c r="B41" i="1" s="1"/>
  <c r="C41" i="1" s="1"/>
  <c r="E42" i="1"/>
  <c r="HR257" i="1"/>
  <c r="L35" i="1"/>
  <c r="HS257" i="1" l="1"/>
  <c r="E43" i="1"/>
  <c r="F42" i="1"/>
  <c r="B42" i="1" s="1"/>
  <c r="C42" i="1" s="1"/>
  <c r="H35" i="1"/>
  <c r="I35" i="1" s="1"/>
  <c r="J35" i="1"/>
  <c r="K36" i="1" s="1"/>
  <c r="F43" i="1" l="1"/>
  <c r="B43" i="1" s="1"/>
  <c r="C43" i="1" s="1"/>
  <c r="E44" i="1"/>
  <c r="L36" i="1"/>
  <c r="HT257" i="1"/>
  <c r="H36" i="1" l="1"/>
  <c r="I36" i="1" s="1"/>
  <c r="J36" i="1"/>
  <c r="K37" i="1" s="1"/>
  <c r="HU257" i="1"/>
  <c r="F44" i="1"/>
  <c r="B44" i="1" s="1"/>
  <c r="C44" i="1" s="1"/>
  <c r="E45" i="1"/>
  <c r="HV257" i="1" l="1"/>
  <c r="E46" i="1"/>
  <c r="F45" i="1"/>
  <c r="B45" i="1" s="1"/>
  <c r="C45" i="1" s="1"/>
  <c r="L37" i="1"/>
  <c r="E47" i="1" l="1"/>
  <c r="F46" i="1"/>
  <c r="B46" i="1" s="1"/>
  <c r="C46" i="1" s="1"/>
  <c r="H37" i="1"/>
  <c r="I37" i="1" s="1"/>
  <c r="J37" i="1"/>
  <c r="K38" i="1" s="1"/>
  <c r="HW257" i="1"/>
  <c r="L38" i="1" l="1"/>
  <c r="HX257" i="1"/>
  <c r="F47" i="1"/>
  <c r="B47" i="1" s="1"/>
  <c r="C47" i="1" s="1"/>
  <c r="E48" i="1"/>
  <c r="HY257" i="1" l="1"/>
  <c r="F48" i="1"/>
  <c r="B48" i="1" s="1"/>
  <c r="C48" i="1" s="1"/>
  <c r="E49" i="1"/>
  <c r="H38" i="1"/>
  <c r="I38" i="1" s="1"/>
  <c r="J38" i="1"/>
  <c r="K39" i="1" s="1"/>
  <c r="F49" i="1" l="1"/>
  <c r="B49" i="1" s="1"/>
  <c r="C49" i="1" s="1"/>
  <c r="E50" i="1"/>
  <c r="L39" i="1"/>
  <c r="HZ257" i="1"/>
  <c r="IA257" i="1" l="1"/>
  <c r="E51" i="1"/>
  <c r="F51" i="1" s="1"/>
  <c r="B51" i="1" s="1"/>
  <c r="F50" i="1"/>
  <c r="B50" i="1" s="1"/>
  <c r="C50" i="1" s="1"/>
  <c r="H39" i="1"/>
  <c r="I39" i="1" s="1"/>
  <c r="J39" i="1"/>
  <c r="K40" i="1" s="1"/>
  <c r="C51" i="1" l="1"/>
  <c r="D8" i="1"/>
  <c r="L40" i="1"/>
  <c r="IB257" i="1"/>
  <c r="H40" i="1" l="1"/>
  <c r="I40" i="1" s="1"/>
  <c r="J40" i="1"/>
  <c r="K41" i="1" s="1"/>
  <c r="IC257" i="1"/>
  <c r="ID257" i="1" l="1"/>
  <c r="L41" i="1"/>
  <c r="H41" i="1" l="1"/>
  <c r="I41" i="1" s="1"/>
  <c r="J41" i="1"/>
  <c r="K42" i="1" s="1"/>
  <c r="IE257" i="1"/>
  <c r="IF257" i="1" l="1"/>
  <c r="L42" i="1"/>
  <c r="H42" i="1" l="1"/>
  <c r="I42" i="1" s="1"/>
  <c r="J42" i="1"/>
  <c r="K43" i="1" s="1"/>
  <c r="IG257" i="1"/>
  <c r="IH257" i="1" l="1"/>
  <c r="L43" i="1"/>
  <c r="H43" i="1" l="1"/>
  <c r="I43" i="1" s="1"/>
  <c r="J43" i="1"/>
  <c r="K44" i="1" s="1"/>
  <c r="II257" i="1"/>
  <c r="IJ257" i="1" l="1"/>
  <c r="L44" i="1"/>
  <c r="H44" i="1" l="1"/>
  <c r="I44" i="1" s="1"/>
  <c r="J44" i="1"/>
  <c r="K45" i="1" s="1"/>
  <c r="IK257" i="1"/>
  <c r="IL257" i="1" l="1"/>
  <c r="L45" i="1"/>
  <c r="IM257" i="1" l="1"/>
  <c r="H45" i="1"/>
  <c r="I45" i="1" s="1"/>
  <c r="J45" i="1"/>
  <c r="K46" i="1" s="1"/>
  <c r="L46" i="1" l="1"/>
  <c r="IN257" i="1"/>
  <c r="IO257" i="1" l="1"/>
  <c r="H46" i="1"/>
  <c r="I46" i="1" s="1"/>
  <c r="J46" i="1"/>
  <c r="K47" i="1" s="1"/>
  <c r="L47" i="1" l="1"/>
  <c r="IP257" i="1"/>
  <c r="IQ257" i="1" l="1"/>
  <c r="H47" i="1"/>
  <c r="I47" i="1" s="1"/>
  <c r="J47" i="1"/>
  <c r="K48" i="1" s="1"/>
  <c r="L48" i="1" l="1"/>
  <c r="IR257" i="1"/>
  <c r="IS257" i="1" l="1"/>
  <c r="H48" i="1"/>
  <c r="I48" i="1" s="1"/>
  <c r="J48" i="1"/>
  <c r="K49" i="1" s="1"/>
  <c r="L49" i="1" l="1"/>
  <c r="IT257" i="1"/>
  <c r="IU257" i="1" l="1"/>
  <c r="H49" i="1"/>
  <c r="I49" i="1" s="1"/>
  <c r="J49" i="1"/>
  <c r="K50" i="1" s="1"/>
  <c r="L50" i="1" l="1"/>
  <c r="IV257" i="1"/>
  <c r="IW257" i="1" l="1"/>
  <c r="H50" i="1"/>
  <c r="I50" i="1" s="1"/>
  <c r="J50" i="1"/>
  <c r="K51" i="1" s="1"/>
  <c r="L51" i="1" l="1"/>
  <c r="IX257" i="1"/>
  <c r="IY257" i="1" l="1"/>
  <c r="H51" i="1"/>
  <c r="I51" i="1" s="1"/>
  <c r="J51" i="1"/>
  <c r="K52" i="1" s="1"/>
  <c r="L52" i="1" l="1"/>
  <c r="IZ257" i="1"/>
  <c r="JA257" i="1" l="1"/>
  <c r="H52" i="1"/>
  <c r="I52" i="1" s="1"/>
  <c r="J52" i="1"/>
  <c r="K53" i="1" s="1"/>
  <c r="L53" i="1" l="1"/>
  <c r="JB257" i="1"/>
  <c r="JC257" i="1" l="1"/>
  <c r="H53" i="1"/>
  <c r="I53" i="1" s="1"/>
  <c r="J53" i="1"/>
  <c r="K54" i="1" s="1"/>
  <c r="L54" i="1" l="1"/>
  <c r="JD257" i="1"/>
  <c r="JE257" i="1" l="1"/>
  <c r="H54" i="1"/>
  <c r="I54" i="1" s="1"/>
  <c r="J54" i="1"/>
  <c r="K55" i="1" s="1"/>
  <c r="L55" i="1" l="1"/>
  <c r="JF257" i="1"/>
  <c r="JG257" i="1" l="1"/>
  <c r="H55" i="1"/>
  <c r="I55" i="1" s="1"/>
  <c r="J55" i="1"/>
  <c r="K56" i="1" s="1"/>
  <c r="L56" i="1" l="1"/>
  <c r="JH257" i="1"/>
  <c r="JI257" i="1" l="1"/>
  <c r="H56" i="1"/>
  <c r="I56" i="1" s="1"/>
  <c r="J56" i="1"/>
  <c r="K57" i="1" s="1"/>
  <c r="L57" i="1" l="1"/>
  <c r="JJ257" i="1"/>
  <c r="JK257" i="1" l="1"/>
  <c r="H57" i="1"/>
  <c r="I57" i="1" s="1"/>
  <c r="J57" i="1"/>
  <c r="K58" i="1" s="1"/>
  <c r="L58" i="1" l="1"/>
  <c r="JL257" i="1"/>
  <c r="JM257" i="1" l="1"/>
  <c r="H58" i="1"/>
  <c r="I58" i="1" s="1"/>
  <c r="J58" i="1"/>
  <c r="K59" i="1" s="1"/>
  <c r="L59" i="1" l="1"/>
  <c r="JN257" i="1"/>
  <c r="JO257" i="1" l="1"/>
  <c r="H59" i="1"/>
  <c r="I59" i="1" s="1"/>
  <c r="J59" i="1"/>
  <c r="K60" i="1" s="1"/>
  <c r="L60" i="1" l="1"/>
  <c r="JP257" i="1"/>
  <c r="H60" i="1" l="1"/>
  <c r="I60" i="1" s="1"/>
  <c r="J60" i="1"/>
  <c r="K61" i="1" s="1"/>
  <c r="JQ257" i="1"/>
  <c r="JR257" i="1" l="1"/>
  <c r="L61" i="1"/>
  <c r="H61" i="1" l="1"/>
  <c r="I61" i="1" s="1"/>
  <c r="J61" i="1"/>
  <c r="K62" i="1" s="1"/>
  <c r="JS257" i="1"/>
  <c r="JT257" i="1" l="1"/>
  <c r="L62" i="1"/>
  <c r="H62" i="1" l="1"/>
  <c r="I62" i="1" s="1"/>
  <c r="J62" i="1"/>
  <c r="K63" i="1" s="1"/>
  <c r="JU257" i="1"/>
  <c r="JV257" i="1" l="1"/>
  <c r="L63" i="1"/>
  <c r="H63" i="1" l="1"/>
  <c r="I63" i="1" s="1"/>
  <c r="J63" i="1"/>
  <c r="K64" i="1" s="1"/>
  <c r="JW257" i="1"/>
  <c r="JX257" i="1" l="1"/>
  <c r="L64" i="1"/>
  <c r="H64" i="1" l="1"/>
  <c r="I64" i="1" s="1"/>
  <c r="J64" i="1"/>
  <c r="K65" i="1" s="1"/>
  <c r="JY257" i="1"/>
  <c r="JZ257" i="1" l="1"/>
  <c r="L65" i="1"/>
  <c r="H65" i="1" l="1"/>
  <c r="I65" i="1" s="1"/>
  <c r="J65" i="1"/>
  <c r="K66" i="1" s="1"/>
  <c r="KA257" i="1"/>
  <c r="KB257" i="1" l="1"/>
  <c r="L66" i="1"/>
  <c r="H66" i="1" l="1"/>
  <c r="I66" i="1" s="1"/>
  <c r="J66" i="1"/>
  <c r="K67" i="1" s="1"/>
  <c r="KC257" i="1"/>
  <c r="KD257" i="1" l="1"/>
  <c r="L67" i="1"/>
  <c r="H67" i="1" l="1"/>
  <c r="I67" i="1" s="1"/>
  <c r="J67" i="1"/>
  <c r="K68" i="1" s="1"/>
  <c r="KE257" i="1"/>
  <c r="KF257" i="1" l="1"/>
  <c r="L68" i="1"/>
  <c r="H68" i="1" l="1"/>
  <c r="I68" i="1" s="1"/>
  <c r="J68" i="1"/>
  <c r="K69" i="1" s="1"/>
  <c r="KG257" i="1"/>
  <c r="KH257" i="1" l="1"/>
  <c r="L69" i="1"/>
  <c r="H69" i="1" l="1"/>
  <c r="I69" i="1" s="1"/>
  <c r="J69" i="1"/>
  <c r="K70" i="1" s="1"/>
  <c r="KI257" i="1"/>
  <c r="KJ257" i="1" l="1"/>
  <c r="L70" i="1"/>
  <c r="H70" i="1" l="1"/>
  <c r="I70" i="1" s="1"/>
  <c r="J70" i="1"/>
  <c r="K71" i="1" s="1"/>
  <c r="KK257" i="1"/>
  <c r="KL257" i="1" l="1"/>
  <c r="L71" i="1"/>
  <c r="H71" i="1" l="1"/>
  <c r="I71" i="1" s="1"/>
  <c r="J71" i="1"/>
  <c r="K72" i="1" s="1"/>
  <c r="KM257" i="1"/>
  <c r="KN257" i="1" l="1"/>
  <c r="L72" i="1"/>
  <c r="H72" i="1" l="1"/>
  <c r="I72" i="1" s="1"/>
  <c r="J72" i="1"/>
  <c r="K73" i="1" s="1"/>
  <c r="KO257" i="1"/>
  <c r="KP257" i="1" l="1"/>
  <c r="L73" i="1"/>
  <c r="H73" i="1" l="1"/>
  <c r="I73" i="1" s="1"/>
  <c r="J73" i="1"/>
  <c r="K74" i="1" s="1"/>
  <c r="KQ257" i="1"/>
  <c r="KR257" i="1" l="1"/>
  <c r="L74" i="1"/>
  <c r="H74" i="1" l="1"/>
  <c r="I74" i="1" s="1"/>
  <c r="J74" i="1"/>
  <c r="K75" i="1" s="1"/>
  <c r="KS257" i="1"/>
  <c r="KT257" i="1" l="1"/>
  <c r="L75" i="1"/>
  <c r="H75" i="1" l="1"/>
  <c r="I75" i="1" s="1"/>
  <c r="J75" i="1"/>
  <c r="K76" i="1" s="1"/>
  <c r="KU257" i="1"/>
  <c r="KV257" i="1" l="1"/>
  <c r="L76" i="1"/>
  <c r="H76" i="1" l="1"/>
  <c r="I76" i="1" s="1"/>
  <c r="J76" i="1"/>
  <c r="K77" i="1" s="1"/>
  <c r="KW257" i="1"/>
  <c r="KX257" i="1" l="1"/>
  <c r="L77" i="1"/>
  <c r="H77" i="1" l="1"/>
  <c r="I77" i="1" s="1"/>
  <c r="J77" i="1"/>
  <c r="K78" i="1" s="1"/>
  <c r="KY257" i="1"/>
  <c r="KZ257" i="1" l="1"/>
  <c r="L78" i="1"/>
  <c r="H78" i="1" l="1"/>
  <c r="I78" i="1" s="1"/>
  <c r="J78" i="1"/>
  <c r="K79" i="1" s="1"/>
  <c r="LA257" i="1"/>
  <c r="LB257" i="1" l="1"/>
  <c r="L79" i="1"/>
  <c r="H79" i="1" l="1"/>
  <c r="I79" i="1" s="1"/>
  <c r="J79" i="1"/>
  <c r="K80" i="1" s="1"/>
  <c r="LC257" i="1"/>
  <c r="LD257" i="1" l="1"/>
  <c r="L80" i="1"/>
  <c r="H80" i="1" l="1"/>
  <c r="I80" i="1" s="1"/>
  <c r="J80" i="1"/>
  <c r="K81" i="1" s="1"/>
  <c r="LE257" i="1"/>
  <c r="LF257" i="1" l="1"/>
  <c r="L81" i="1"/>
  <c r="H81" i="1" l="1"/>
  <c r="I81" i="1" s="1"/>
  <c r="J81" i="1"/>
  <c r="K82" i="1" s="1"/>
  <c r="LG257" i="1"/>
  <c r="LH257" i="1" l="1"/>
  <c r="L82" i="1"/>
  <c r="H82" i="1" l="1"/>
  <c r="I82" i="1" s="1"/>
  <c r="J82" i="1"/>
  <c r="K83" i="1" s="1"/>
  <c r="LI257" i="1"/>
  <c r="L83" i="1" l="1"/>
  <c r="LJ257" i="1"/>
  <c r="LK257" i="1" l="1"/>
  <c r="H83" i="1"/>
  <c r="I83" i="1" s="1"/>
  <c r="J83" i="1"/>
  <c r="K84" i="1" s="1"/>
  <c r="L84" i="1" l="1"/>
  <c r="LL257" i="1"/>
  <c r="LM257" i="1" l="1"/>
  <c r="H84" i="1"/>
  <c r="I84" i="1" s="1"/>
  <c r="J84" i="1"/>
  <c r="K85" i="1" s="1"/>
  <c r="L85" i="1" l="1"/>
  <c r="LN257" i="1"/>
  <c r="H85" i="1" l="1"/>
  <c r="I85" i="1" s="1"/>
  <c r="J85" i="1"/>
  <c r="K86" i="1" s="1"/>
  <c r="LO257" i="1"/>
  <c r="LP257" i="1" l="1"/>
  <c r="L86" i="1"/>
  <c r="H86" i="1" l="1"/>
  <c r="I86" i="1" s="1"/>
  <c r="J86" i="1"/>
  <c r="K87" i="1" s="1"/>
  <c r="LQ257" i="1"/>
  <c r="LR257" i="1" l="1"/>
  <c r="L87" i="1"/>
  <c r="H87" i="1" l="1"/>
  <c r="I87" i="1" s="1"/>
  <c r="J87" i="1"/>
  <c r="K88" i="1" s="1"/>
  <c r="LS257" i="1"/>
  <c r="LT257" i="1" l="1"/>
  <c r="L88" i="1"/>
  <c r="H88" i="1" l="1"/>
  <c r="I88" i="1" s="1"/>
  <c r="J88" i="1"/>
  <c r="K89" i="1" s="1"/>
  <c r="LU257" i="1"/>
  <c r="LV257" i="1" l="1"/>
  <c r="L89" i="1"/>
  <c r="H89" i="1" l="1"/>
  <c r="I89" i="1" s="1"/>
  <c r="J89" i="1"/>
  <c r="K90" i="1" s="1"/>
  <c r="LW257" i="1"/>
  <c r="LX257" i="1" l="1"/>
  <c r="L90" i="1"/>
  <c r="H90" i="1" l="1"/>
  <c r="I90" i="1" s="1"/>
  <c r="J90" i="1"/>
  <c r="K91" i="1" s="1"/>
  <c r="LY257" i="1"/>
  <c r="LZ257" i="1" l="1"/>
  <c r="L91" i="1"/>
  <c r="H91" i="1" l="1"/>
  <c r="I91" i="1" s="1"/>
  <c r="J91" i="1"/>
  <c r="K92" i="1" s="1"/>
  <c r="MA257" i="1"/>
  <c r="MB257" i="1" l="1"/>
  <c r="L92" i="1"/>
  <c r="H92" i="1" l="1"/>
  <c r="I92" i="1" s="1"/>
  <c r="J92" i="1"/>
  <c r="K93" i="1" s="1"/>
  <c r="MC257" i="1"/>
  <c r="MD257" i="1" l="1"/>
  <c r="L93" i="1"/>
  <c r="H93" i="1" l="1"/>
  <c r="I93" i="1" s="1"/>
  <c r="J93" i="1"/>
  <c r="K94" i="1" s="1"/>
  <c r="ME257" i="1"/>
  <c r="MF257" i="1" l="1"/>
  <c r="L94" i="1"/>
  <c r="H94" i="1" l="1"/>
  <c r="I94" i="1" s="1"/>
  <c r="J94" i="1"/>
  <c r="K95" i="1" s="1"/>
  <c r="MG257" i="1"/>
  <c r="MH257" i="1" l="1"/>
  <c r="L95" i="1"/>
  <c r="H95" i="1" l="1"/>
  <c r="I95" i="1" s="1"/>
  <c r="J95" i="1"/>
  <c r="K96" i="1" s="1"/>
  <c r="MI257" i="1"/>
  <c r="MJ257" i="1" l="1"/>
  <c r="L96" i="1"/>
  <c r="H96" i="1" l="1"/>
  <c r="I96" i="1" s="1"/>
  <c r="J96" i="1"/>
  <c r="K97" i="1" s="1"/>
  <c r="MK257" i="1"/>
  <c r="ML257" i="1" l="1"/>
  <c r="L97" i="1"/>
  <c r="H97" i="1" l="1"/>
  <c r="I97" i="1" s="1"/>
  <c r="J97" i="1"/>
  <c r="K98" i="1" s="1"/>
  <c r="MM257" i="1"/>
  <c r="MN257" i="1" l="1"/>
  <c r="L98" i="1"/>
  <c r="H98" i="1" l="1"/>
  <c r="I98" i="1" s="1"/>
  <c r="J98" i="1"/>
  <c r="K99" i="1" s="1"/>
  <c r="MO257" i="1"/>
  <c r="L99" i="1" l="1"/>
  <c r="MP257" i="1"/>
  <c r="MQ257" i="1" l="1"/>
  <c r="H99" i="1"/>
  <c r="I99" i="1" s="1"/>
  <c r="J99" i="1"/>
  <c r="K100" i="1" s="1"/>
  <c r="L100" i="1" l="1"/>
  <c r="MR257" i="1"/>
  <c r="MS257" i="1" l="1"/>
  <c r="H100" i="1"/>
  <c r="I100" i="1" s="1"/>
  <c r="J100" i="1"/>
  <c r="K101" i="1" s="1"/>
  <c r="L101" i="1" l="1"/>
  <c r="MT257" i="1"/>
  <c r="MU257" i="1" l="1"/>
  <c r="H101" i="1"/>
  <c r="I101" i="1" s="1"/>
  <c r="J101" i="1"/>
  <c r="K102" i="1" s="1"/>
  <c r="L102" i="1" l="1"/>
  <c r="MV257" i="1"/>
  <c r="MW257" i="1" l="1"/>
  <c r="H102" i="1"/>
  <c r="I102" i="1" s="1"/>
  <c r="J102" i="1"/>
  <c r="K103" i="1" s="1"/>
  <c r="L103" i="1" l="1"/>
  <c r="MX257" i="1"/>
  <c r="MY257" i="1" l="1"/>
  <c r="H103" i="1"/>
  <c r="I103" i="1" s="1"/>
  <c r="J103" i="1"/>
  <c r="K104" i="1" s="1"/>
  <c r="L104" i="1" l="1"/>
  <c r="MZ257" i="1"/>
  <c r="NA257" i="1"/>
  <c r="H104" i="1" l="1"/>
  <c r="I104" i="1" s="1"/>
  <c r="J104" i="1"/>
  <c r="K105" i="1" s="1"/>
  <c r="L105" i="1" l="1"/>
  <c r="H105" i="1" l="1"/>
  <c r="I105" i="1" s="1"/>
  <c r="J105" i="1"/>
  <c r="K106" i="1" s="1"/>
  <c r="L106" i="1" l="1"/>
  <c r="H106" i="1" l="1"/>
  <c r="I106" i="1" s="1"/>
  <c r="J106" i="1"/>
  <c r="K107" i="1" s="1"/>
  <c r="L107" i="1" l="1"/>
  <c r="H107" i="1" l="1"/>
  <c r="I107" i="1" s="1"/>
  <c r="J107" i="1"/>
  <c r="K108" i="1" s="1"/>
  <c r="L108" i="1" l="1"/>
  <c r="H108" i="1" l="1"/>
  <c r="I108" i="1" s="1"/>
  <c r="J108" i="1"/>
  <c r="K109" i="1" s="1"/>
  <c r="L109" i="1" l="1"/>
  <c r="H109" i="1" l="1"/>
  <c r="I109" i="1" s="1"/>
  <c r="J109" i="1"/>
  <c r="K110" i="1" s="1"/>
  <c r="L110" i="1" l="1"/>
  <c r="H110" i="1" l="1"/>
  <c r="I110" i="1" s="1"/>
  <c r="J110" i="1"/>
  <c r="K111" i="1" s="1"/>
  <c r="L111" i="1" l="1"/>
  <c r="H111" i="1" l="1"/>
  <c r="I111" i="1" s="1"/>
  <c r="J111" i="1"/>
  <c r="K112" i="1" s="1"/>
  <c r="L112" i="1" l="1"/>
  <c r="H112" i="1" l="1"/>
  <c r="I112" i="1" s="1"/>
  <c r="J112" i="1"/>
  <c r="K113" i="1" s="1"/>
  <c r="L113" i="1" l="1"/>
  <c r="H113" i="1" l="1"/>
  <c r="I113" i="1" s="1"/>
  <c r="J113" i="1"/>
  <c r="K114" i="1" s="1"/>
  <c r="L114" i="1" l="1"/>
  <c r="H114" i="1" l="1"/>
  <c r="I114" i="1" s="1"/>
  <c r="J114" i="1"/>
  <c r="K115" i="1" s="1"/>
  <c r="L115" i="1" l="1"/>
  <c r="H115" i="1" l="1"/>
  <c r="I115" i="1" s="1"/>
  <c r="J115" i="1"/>
  <c r="K116" i="1" s="1"/>
  <c r="L116" i="1" l="1"/>
  <c r="H116" i="1" l="1"/>
  <c r="I116" i="1" s="1"/>
  <c r="J116" i="1"/>
  <c r="K117" i="1" s="1"/>
  <c r="L117" i="1" l="1"/>
  <c r="H117" i="1" l="1"/>
  <c r="I117" i="1" s="1"/>
  <c r="J117" i="1"/>
  <c r="K118" i="1" s="1"/>
  <c r="L118" i="1" l="1"/>
  <c r="H118" i="1" l="1"/>
  <c r="I118" i="1" s="1"/>
  <c r="J118" i="1"/>
  <c r="K119" i="1" s="1"/>
  <c r="L119" i="1" l="1"/>
  <c r="H119" i="1" l="1"/>
  <c r="I119" i="1" s="1"/>
  <c r="J119" i="1"/>
  <c r="K120" i="1" s="1"/>
  <c r="L120" i="1" l="1"/>
  <c r="H120" i="1" l="1"/>
  <c r="I120" i="1" s="1"/>
  <c r="J120" i="1"/>
  <c r="K121" i="1" s="1"/>
  <c r="L121" i="1" l="1"/>
  <c r="H121" i="1" l="1"/>
  <c r="I121" i="1" s="1"/>
  <c r="J121" i="1"/>
  <c r="K122" i="1" s="1"/>
  <c r="L122" i="1" l="1"/>
  <c r="H122" i="1" l="1"/>
  <c r="I122" i="1" s="1"/>
  <c r="J122" i="1"/>
  <c r="K123" i="1" s="1"/>
  <c r="L123" i="1" l="1"/>
  <c r="H123" i="1" l="1"/>
  <c r="I123" i="1" s="1"/>
  <c r="J123" i="1"/>
  <c r="K124" i="1" s="1"/>
  <c r="L124" i="1" l="1"/>
  <c r="H124" i="1" l="1"/>
  <c r="I124" i="1" s="1"/>
  <c r="J124" i="1"/>
  <c r="K125" i="1" s="1"/>
  <c r="L125" i="1" l="1"/>
  <c r="H125" i="1" l="1"/>
  <c r="I125" i="1" s="1"/>
  <c r="J125" i="1"/>
  <c r="K126" i="1" s="1"/>
  <c r="L126" i="1" l="1"/>
  <c r="H126" i="1" l="1"/>
  <c r="I126" i="1" s="1"/>
  <c r="J126" i="1"/>
  <c r="K127" i="1" s="1"/>
  <c r="L127" i="1" l="1"/>
  <c r="H127" i="1" l="1"/>
  <c r="I127" i="1" s="1"/>
  <c r="J127" i="1"/>
  <c r="K128" i="1" s="1"/>
  <c r="L128" i="1" l="1"/>
  <c r="H128" i="1" l="1"/>
  <c r="I128" i="1" s="1"/>
  <c r="J128" i="1"/>
  <c r="K129" i="1" s="1"/>
  <c r="L129" i="1" l="1"/>
  <c r="H129" i="1" l="1"/>
  <c r="I129" i="1" s="1"/>
  <c r="J129" i="1"/>
  <c r="K130" i="1" s="1"/>
  <c r="L130" i="1" l="1"/>
  <c r="H130" i="1" l="1"/>
  <c r="I130" i="1" s="1"/>
  <c r="J130" i="1"/>
  <c r="K131" i="1" s="1"/>
  <c r="L131" i="1" l="1"/>
  <c r="H131" i="1" l="1"/>
  <c r="I131" i="1" s="1"/>
  <c r="J131" i="1"/>
  <c r="K132" i="1" s="1"/>
  <c r="L132" i="1" l="1"/>
  <c r="H132" i="1" l="1"/>
  <c r="I132" i="1" s="1"/>
  <c r="J132" i="1"/>
  <c r="K133" i="1" s="1"/>
  <c r="L133" i="1" l="1"/>
  <c r="H133" i="1" l="1"/>
  <c r="I133" i="1" s="1"/>
  <c r="J133" i="1"/>
  <c r="K134" i="1" s="1"/>
  <c r="L134" i="1" l="1"/>
  <c r="H134" i="1" l="1"/>
  <c r="I134" i="1" s="1"/>
  <c r="J134" i="1"/>
  <c r="K135" i="1" s="1"/>
  <c r="L135" i="1" l="1"/>
  <c r="H135" i="1" l="1"/>
  <c r="I135" i="1" s="1"/>
  <c r="J135" i="1"/>
  <c r="K136" i="1" s="1"/>
  <c r="L136" i="1" l="1"/>
  <c r="H136" i="1" l="1"/>
  <c r="I136" i="1" s="1"/>
  <c r="J136" i="1"/>
  <c r="K137" i="1" s="1"/>
  <c r="L137" i="1" l="1"/>
  <c r="H137" i="1" l="1"/>
  <c r="I137" i="1" s="1"/>
  <c r="J137" i="1"/>
  <c r="K138" i="1" s="1"/>
  <c r="L138" i="1" l="1"/>
  <c r="H138" i="1" l="1"/>
  <c r="I138" i="1" s="1"/>
  <c r="J138" i="1"/>
  <c r="K139" i="1" s="1"/>
  <c r="L139" i="1" l="1"/>
  <c r="H139" i="1" l="1"/>
  <c r="I139" i="1" s="1"/>
  <c r="J139" i="1"/>
  <c r="K140" i="1" s="1"/>
  <c r="L140" i="1" l="1"/>
  <c r="H140" i="1" l="1"/>
  <c r="I140" i="1" s="1"/>
  <c r="J140" i="1"/>
  <c r="K141" i="1" s="1"/>
  <c r="L141" i="1" l="1"/>
  <c r="H141" i="1" l="1"/>
  <c r="I141" i="1" s="1"/>
  <c r="J141" i="1"/>
  <c r="K142" i="1" s="1"/>
  <c r="L142" i="1" l="1"/>
  <c r="H142" i="1" l="1"/>
  <c r="I142" i="1" s="1"/>
  <c r="J142" i="1"/>
  <c r="K143" i="1" s="1"/>
  <c r="L143" i="1" l="1"/>
  <c r="H143" i="1" l="1"/>
  <c r="I143" i="1" s="1"/>
  <c r="J143" i="1"/>
  <c r="K144" i="1" s="1"/>
  <c r="L144" i="1" l="1"/>
  <c r="H144" i="1" l="1"/>
  <c r="I144" i="1" s="1"/>
  <c r="J144" i="1"/>
  <c r="K145" i="1" s="1"/>
  <c r="L145" i="1" l="1"/>
  <c r="H145" i="1" l="1"/>
  <c r="I145" i="1" s="1"/>
  <c r="J145" i="1"/>
  <c r="K146" i="1" s="1"/>
  <c r="L146" i="1" l="1"/>
  <c r="H146" i="1" l="1"/>
  <c r="I146" i="1" s="1"/>
  <c r="J146" i="1"/>
  <c r="K147" i="1" s="1"/>
  <c r="L147" i="1" l="1"/>
  <c r="H147" i="1" l="1"/>
  <c r="I147" i="1" s="1"/>
  <c r="J147" i="1"/>
  <c r="K148" i="1" s="1"/>
  <c r="L148" i="1" l="1"/>
  <c r="H148" i="1" l="1"/>
  <c r="I148" i="1" s="1"/>
  <c r="J148" i="1"/>
  <c r="K149" i="1" s="1"/>
  <c r="L149" i="1" l="1"/>
  <c r="H149" i="1" l="1"/>
  <c r="I149" i="1" s="1"/>
  <c r="J149" i="1"/>
  <c r="K150" i="1" s="1"/>
  <c r="L150" i="1" l="1"/>
  <c r="H150" i="1" l="1"/>
  <c r="I150" i="1" s="1"/>
  <c r="J150" i="1"/>
  <c r="K151" i="1" s="1"/>
  <c r="L151" i="1" l="1"/>
  <c r="H151" i="1" l="1"/>
  <c r="I151" i="1" s="1"/>
  <c r="J151" i="1"/>
  <c r="K152" i="1" s="1"/>
  <c r="L152" i="1" l="1"/>
  <c r="H152" i="1" l="1"/>
  <c r="I152" i="1" s="1"/>
  <c r="J152" i="1"/>
  <c r="K153" i="1" s="1"/>
  <c r="L153" i="1" l="1"/>
  <c r="H153" i="1" l="1"/>
  <c r="I153" i="1" s="1"/>
  <c r="J153" i="1"/>
  <c r="K154" i="1" s="1"/>
  <c r="L154" i="1" l="1"/>
  <c r="H154" i="1" l="1"/>
  <c r="I154" i="1" s="1"/>
  <c r="J154" i="1"/>
  <c r="K155" i="1" s="1"/>
  <c r="L155" i="1" l="1"/>
  <c r="H155" i="1" l="1"/>
  <c r="I155" i="1" s="1"/>
  <c r="J155" i="1"/>
  <c r="K156" i="1" s="1"/>
  <c r="L156" i="1" l="1"/>
  <c r="H156" i="1" l="1"/>
  <c r="I156" i="1" s="1"/>
  <c r="J156" i="1"/>
  <c r="K157" i="1" s="1"/>
  <c r="L157" i="1" l="1"/>
  <c r="H157" i="1" l="1"/>
  <c r="I157" i="1" s="1"/>
  <c r="J157" i="1"/>
  <c r="K158" i="1" s="1"/>
  <c r="L158" i="1" l="1"/>
  <c r="H158" i="1" l="1"/>
  <c r="I158" i="1" s="1"/>
  <c r="J158" i="1"/>
  <c r="K159" i="1" s="1"/>
  <c r="L159" i="1" l="1"/>
  <c r="H159" i="1" l="1"/>
  <c r="I159" i="1" s="1"/>
  <c r="J159" i="1"/>
  <c r="K160" i="1" s="1"/>
  <c r="L160" i="1" l="1"/>
  <c r="H160" i="1" l="1"/>
  <c r="I160" i="1" s="1"/>
  <c r="J160" i="1"/>
  <c r="K161" i="1" s="1"/>
  <c r="L161" i="1" l="1"/>
  <c r="H161" i="1" l="1"/>
  <c r="I161" i="1" s="1"/>
  <c r="J161" i="1"/>
  <c r="K162" i="1" s="1"/>
  <c r="L162" i="1" l="1"/>
  <c r="H162" i="1" l="1"/>
  <c r="I162" i="1" s="1"/>
  <c r="J162" i="1"/>
  <c r="K163" i="1" s="1"/>
  <c r="L163" i="1" l="1"/>
  <c r="H163" i="1" l="1"/>
  <c r="I163" i="1" s="1"/>
  <c r="J163" i="1"/>
  <c r="K164" i="1" s="1"/>
  <c r="L164" i="1" l="1"/>
  <c r="H164" i="1" l="1"/>
  <c r="I164" i="1" s="1"/>
  <c r="J164" i="1"/>
  <c r="K165" i="1" s="1"/>
  <c r="L165" i="1" l="1"/>
  <c r="H165" i="1" l="1"/>
  <c r="I165" i="1" s="1"/>
  <c r="J165" i="1"/>
  <c r="K166" i="1" s="1"/>
  <c r="L166" i="1" l="1"/>
  <c r="H166" i="1" l="1"/>
  <c r="I166" i="1" s="1"/>
  <c r="J166" i="1"/>
  <c r="K167" i="1" s="1"/>
  <c r="L167" i="1" l="1"/>
  <c r="H167" i="1" l="1"/>
  <c r="I167" i="1" s="1"/>
  <c r="J167" i="1"/>
  <c r="K168" i="1" s="1"/>
  <c r="L168" i="1" l="1"/>
  <c r="H168" i="1" l="1"/>
  <c r="I168" i="1" s="1"/>
  <c r="J168" i="1"/>
  <c r="K169" i="1" s="1"/>
  <c r="L169" i="1" l="1"/>
  <c r="H169" i="1" l="1"/>
  <c r="I169" i="1" s="1"/>
  <c r="J169" i="1"/>
  <c r="K170" i="1" s="1"/>
  <c r="L170" i="1" l="1"/>
  <c r="H170" i="1" l="1"/>
  <c r="I170" i="1" s="1"/>
  <c r="J170" i="1"/>
  <c r="K171" i="1" s="1"/>
  <c r="L171" i="1" l="1"/>
  <c r="H171" i="1" l="1"/>
  <c r="I171" i="1" s="1"/>
  <c r="J171" i="1"/>
  <c r="K172" i="1" s="1"/>
  <c r="L172" i="1" l="1"/>
  <c r="H172" i="1" l="1"/>
  <c r="I172" i="1" s="1"/>
  <c r="J172" i="1"/>
  <c r="K173" i="1" s="1"/>
  <c r="L173" i="1" l="1"/>
  <c r="H173" i="1" l="1"/>
  <c r="I173" i="1" s="1"/>
  <c r="J173" i="1"/>
  <c r="K174" i="1" s="1"/>
  <c r="L174" i="1" l="1"/>
  <c r="H174" i="1" l="1"/>
  <c r="I174" i="1" s="1"/>
  <c r="J174" i="1"/>
  <c r="K175" i="1" s="1"/>
  <c r="L175" i="1" l="1"/>
  <c r="H175" i="1" l="1"/>
  <c r="I175" i="1" s="1"/>
  <c r="J175" i="1"/>
  <c r="K176" i="1" s="1"/>
  <c r="L176" i="1" l="1"/>
  <c r="H176" i="1" l="1"/>
  <c r="I176" i="1" s="1"/>
  <c r="J176" i="1"/>
  <c r="K177" i="1" s="1"/>
  <c r="L177" i="1" l="1"/>
  <c r="H177" i="1" l="1"/>
  <c r="I177" i="1" s="1"/>
  <c r="J177" i="1"/>
  <c r="K178" i="1" s="1"/>
  <c r="L178" i="1" l="1"/>
  <c r="H178" i="1" l="1"/>
  <c r="I178" i="1" s="1"/>
  <c r="J178" i="1"/>
  <c r="K179" i="1" s="1"/>
  <c r="L179" i="1" l="1"/>
  <c r="H179" i="1" l="1"/>
  <c r="I179" i="1" s="1"/>
  <c r="J179" i="1"/>
  <c r="K180" i="1" s="1"/>
  <c r="L180" i="1" l="1"/>
  <c r="H180" i="1" l="1"/>
  <c r="I180" i="1" s="1"/>
  <c r="J180" i="1"/>
  <c r="K181" i="1" s="1"/>
  <c r="L181" i="1" l="1"/>
  <c r="H181" i="1" l="1"/>
  <c r="I181" i="1" s="1"/>
  <c r="J181" i="1"/>
  <c r="K182" i="1" s="1"/>
  <c r="L182" i="1" l="1"/>
  <c r="H182" i="1" l="1"/>
  <c r="I182" i="1" s="1"/>
  <c r="J182" i="1"/>
  <c r="K183" i="1" s="1"/>
  <c r="L183" i="1" l="1"/>
  <c r="H183" i="1" l="1"/>
  <c r="I183" i="1" s="1"/>
  <c r="J183" i="1"/>
  <c r="K184" i="1" s="1"/>
  <c r="L184" i="1" l="1"/>
  <c r="H184" i="1" l="1"/>
  <c r="I184" i="1" s="1"/>
  <c r="J184" i="1"/>
  <c r="K185" i="1" s="1"/>
  <c r="L185" i="1" l="1"/>
  <c r="H185" i="1" l="1"/>
  <c r="I185" i="1" s="1"/>
  <c r="J185" i="1"/>
  <c r="K186" i="1" s="1"/>
  <c r="L186" i="1" l="1"/>
  <c r="H186" i="1" l="1"/>
  <c r="I186" i="1" s="1"/>
  <c r="J186" i="1"/>
  <c r="K187" i="1" s="1"/>
  <c r="L187" i="1" l="1"/>
  <c r="H187" i="1" l="1"/>
  <c r="I187" i="1" s="1"/>
  <c r="J187" i="1"/>
  <c r="K188" i="1" s="1"/>
  <c r="L188" i="1" l="1"/>
  <c r="H188" i="1" l="1"/>
  <c r="I188" i="1" s="1"/>
  <c r="J188" i="1"/>
  <c r="K189" i="1" s="1"/>
  <c r="L189" i="1" l="1"/>
  <c r="H189" i="1" l="1"/>
  <c r="I189" i="1" s="1"/>
  <c r="J189" i="1"/>
  <c r="K190" i="1" s="1"/>
  <c r="L190" i="1" l="1"/>
  <c r="H190" i="1" l="1"/>
  <c r="I190" i="1" s="1"/>
  <c r="J190" i="1"/>
  <c r="K191" i="1" s="1"/>
  <c r="L191" i="1" l="1"/>
  <c r="H191" i="1" l="1"/>
  <c r="I191" i="1" s="1"/>
  <c r="J191" i="1"/>
  <c r="K192" i="1" s="1"/>
  <c r="L192" i="1" l="1"/>
  <c r="H192" i="1" l="1"/>
  <c r="I192" i="1" s="1"/>
  <c r="J192" i="1"/>
  <c r="K193" i="1" s="1"/>
  <c r="L193" i="1" l="1"/>
  <c r="H193" i="1" l="1"/>
  <c r="I193" i="1" s="1"/>
  <c r="J193" i="1"/>
  <c r="K194" i="1" s="1"/>
  <c r="L194" i="1" l="1"/>
  <c r="H194" i="1" l="1"/>
  <c r="I194" i="1" s="1"/>
  <c r="J194" i="1"/>
  <c r="K195" i="1" s="1"/>
  <c r="L195" i="1" l="1"/>
  <c r="H195" i="1" l="1"/>
  <c r="I195" i="1" s="1"/>
  <c r="J195" i="1"/>
  <c r="K196" i="1" s="1"/>
  <c r="L196" i="1" l="1"/>
  <c r="H196" i="1" l="1"/>
  <c r="I196" i="1" s="1"/>
  <c r="J196" i="1"/>
  <c r="K197" i="1" s="1"/>
  <c r="L197" i="1" l="1"/>
  <c r="H197" i="1" l="1"/>
  <c r="I197" i="1" s="1"/>
  <c r="J197" i="1"/>
  <c r="K198" i="1" s="1"/>
  <c r="L198" i="1" l="1"/>
  <c r="H198" i="1" l="1"/>
  <c r="I198" i="1" s="1"/>
  <c r="J198" i="1"/>
  <c r="K199" i="1" s="1"/>
  <c r="L199" i="1" l="1"/>
  <c r="H199" i="1" l="1"/>
  <c r="I199" i="1" s="1"/>
  <c r="J199" i="1"/>
  <c r="K200" i="1" s="1"/>
  <c r="L200" i="1" l="1"/>
  <c r="H200" i="1" l="1"/>
  <c r="I200" i="1" s="1"/>
  <c r="J200" i="1"/>
  <c r="K201" i="1" s="1"/>
  <c r="L201" i="1" l="1"/>
  <c r="H201" i="1" l="1"/>
  <c r="I201" i="1" s="1"/>
  <c r="J201" i="1"/>
  <c r="K202" i="1" s="1"/>
  <c r="L202" i="1" l="1"/>
  <c r="H202" i="1" l="1"/>
  <c r="I202" i="1" s="1"/>
  <c r="J202" i="1"/>
  <c r="K203" i="1" s="1"/>
  <c r="L203" i="1" l="1"/>
  <c r="H203" i="1" l="1"/>
  <c r="I203" i="1" s="1"/>
  <c r="J203" i="1"/>
  <c r="K204" i="1" s="1"/>
  <c r="L204" i="1" l="1"/>
  <c r="H204" i="1" l="1"/>
  <c r="I204" i="1" s="1"/>
  <c r="J204" i="1"/>
  <c r="K205" i="1" s="1"/>
  <c r="L205" i="1" l="1"/>
  <c r="H205" i="1" l="1"/>
  <c r="I205" i="1" s="1"/>
  <c r="J205" i="1"/>
  <c r="K206" i="1" s="1"/>
  <c r="L206" i="1" l="1"/>
  <c r="H206" i="1" l="1"/>
  <c r="I206" i="1" s="1"/>
  <c r="J206" i="1"/>
  <c r="K207" i="1" s="1"/>
  <c r="L207" i="1" l="1"/>
  <c r="H207" i="1" l="1"/>
  <c r="I207" i="1" s="1"/>
  <c r="J207" i="1"/>
  <c r="K208" i="1" s="1"/>
  <c r="L208" i="1" l="1"/>
  <c r="H208" i="1" l="1"/>
  <c r="I208" i="1" s="1"/>
  <c r="J208" i="1"/>
  <c r="K209" i="1" s="1"/>
  <c r="L209" i="1" l="1"/>
  <c r="H209" i="1" l="1"/>
  <c r="I209" i="1" s="1"/>
  <c r="J209" i="1"/>
  <c r="K210" i="1" s="1"/>
  <c r="L210" i="1" l="1"/>
  <c r="H210" i="1" l="1"/>
  <c r="I210" i="1" s="1"/>
  <c r="J210" i="1"/>
  <c r="K211" i="1" s="1"/>
  <c r="L211" i="1" l="1"/>
  <c r="H211" i="1" l="1"/>
  <c r="I211" i="1" s="1"/>
  <c r="J211" i="1"/>
  <c r="K212" i="1" s="1"/>
  <c r="L212" i="1" l="1"/>
  <c r="H212" i="1" l="1"/>
  <c r="I212" i="1" s="1"/>
  <c r="J212" i="1"/>
  <c r="K213" i="1" s="1"/>
  <c r="L213" i="1" l="1"/>
  <c r="H213" i="1" l="1"/>
  <c r="I213" i="1" s="1"/>
  <c r="J213" i="1"/>
  <c r="K214" i="1" s="1"/>
  <c r="L214" i="1" l="1"/>
  <c r="H214" i="1" l="1"/>
  <c r="I214" i="1" s="1"/>
  <c r="J214" i="1"/>
  <c r="K215" i="1" s="1"/>
  <c r="L215" i="1" l="1"/>
  <c r="H215" i="1" l="1"/>
  <c r="I215" i="1" s="1"/>
  <c r="J215" i="1"/>
  <c r="K216" i="1" s="1"/>
  <c r="L216" i="1" s="1"/>
  <c r="H216" i="1" l="1"/>
  <c r="I216" i="1" s="1"/>
  <c r="D6" i="1" s="1"/>
  <c r="J216" i="1"/>
</calcChain>
</file>

<file path=xl/sharedStrings.xml><?xml version="1.0" encoding="utf-8"?>
<sst xmlns="http://schemas.openxmlformats.org/spreadsheetml/2006/main" count="34" uniqueCount="25">
  <si>
    <t>Hypothèses</t>
  </si>
  <si>
    <t>Volume</t>
  </si>
  <si>
    <t>GWh</t>
  </si>
  <si>
    <t>Soutirage maximum (du réseau)</t>
  </si>
  <si>
    <t>GWh/j</t>
  </si>
  <si>
    <t>Nombre de jours d'injection</t>
  </si>
  <si>
    <t>j</t>
  </si>
  <si>
    <t>Injection maximum (sur le réseau)</t>
  </si>
  <si>
    <t>Nombre de jours de soutirage</t>
  </si>
  <si>
    <t>Dernier jour de soutirage au max du débit</t>
  </si>
  <si>
    <t>Volume en stock [%]</t>
  </si>
  <si>
    <t>Débit d'injection [%]</t>
  </si>
  <si>
    <t>Débit de soutirage [%]</t>
  </si>
  <si>
    <t>Débit de soutirage</t>
  </si>
  <si>
    <t>Débit d'injection</t>
  </si>
  <si>
    <t>jour de soutirage du stockage</t>
  </si>
  <si>
    <t>Débit [GWh]</t>
  </si>
  <si>
    <t>Volume utile [GWh]</t>
  </si>
  <si>
    <t>Volume utile [%]</t>
  </si>
  <si>
    <t>jours d'injection</t>
  </si>
  <si>
    <t>Daily Basic Injection Capacity</t>
  </si>
  <si>
    <t>Daily Basic Withdrawal Capacity</t>
  </si>
  <si>
    <t>Tunnels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</si>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</sst>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%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</cellStyleXfs>
  <cellXfs count="6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2" borderId="0" xfId="1" applyFont="1" applyFill="1"/>
    <xf numFmtId="0" fontId="3" fillId="0" borderId="0" xfId="0" applyFont="1"/>
    <xf numFmtId="0" fontId="0" fillId="0" borderId="5" xfId="0" applyBorder="1"/>
    <xf numFmtId="164" fontId="0" fillId="2" borderId="0" xfId="0" applyNumberFormat="1" applyFill="1"/>
    <xf numFmtId="0" fontId="0" fillId="2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10" fontId="3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0" fillId="0" borderId="5" xfId="0" applyNumberFormat="1" applyBorder="1"/>
    <xf numFmtId="9" fontId="0" fillId="0" borderId="4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/>
    <xf numFmtId="0" fontId="3" fillId="0" borderId="2" xfId="0" applyFont="1" applyBorder="1"/>
    <xf numFmtId="165" fontId="0" fillId="0" borderId="5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0" xfId="0" applyNumberFormat="1"/>
    <xf numFmtId="165" fontId="0" fillId="0" borderId="5" xfId="2" applyNumberFormat="1" applyFont="1" applyBorder="1"/>
    <xf numFmtId="0" fontId="6" fillId="0" borderId="0" xfId="0" applyFont="1"/>
    <xf numFmtId="9" fontId="0" fillId="0" borderId="5" xfId="2" applyFont="1" applyBorder="1"/>
    <xf numFmtId="9" fontId="6" fillId="0" borderId="0" xfId="0" applyNumberFormat="1" applyFont="1"/>
    <xf numFmtId="165" fontId="6" fillId="0" borderId="0" xfId="3" applyNumberFormat="1" applyFont="1"/>
    <xf numFmtId="164" fontId="0" fillId="0" borderId="7" xfId="0" applyNumberFormat="1" applyBorder="1"/>
    <xf numFmtId="9" fontId="0" fillId="0" borderId="8" xfId="2" applyFont="1" applyBorder="1"/>
    <xf numFmtId="9" fontId="0" fillId="0" borderId="0" xfId="2" applyFont="1"/>
    <xf numFmtId="164" fontId="0" fillId="0" borderId="7" xfId="1" applyFont="1" applyBorder="1"/>
    <xf numFmtId="165" fontId="0" fillId="0" borderId="8" xfId="2" applyNumberFormat="1" applyFont="1" applyBorder="1"/>
    <xf numFmtId="9" fontId="0" fillId="0" borderId="6" xfId="2" applyFont="1" applyBorder="1"/>
    <xf numFmtId="0" fontId="2" fillId="0" borderId="0" xfId="0" applyFont="1"/>
    <xf numFmtId="0" fontId="5" fillId="0" borderId="0" xfId="0" applyFont="1"/>
    <xf numFmtId="14" fontId="7" fillId="0" borderId="2" xfId="4" applyNumberFormat="1" applyFont="1" applyBorder="1"/>
    <xf numFmtId="14" fontId="7" fillId="0" borderId="3" xfId="4" applyNumberFormat="1" applyFont="1" applyBorder="1"/>
    <xf numFmtId="2" fontId="0" fillId="0" borderId="4" xfId="0" applyNumberFormat="1" applyBorder="1"/>
    <xf numFmtId="2" fontId="0" fillId="0" borderId="0" xfId="0" applyNumberFormat="1"/>
    <xf numFmtId="165" fontId="6" fillId="0" borderId="5" xfId="3" applyNumberFormat="1" applyFont="1" applyBorder="1"/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Border="1"/>
    <xf numFmtId="0" fontId="4" fillId="0" borderId="0" xfId="0" applyFont="1" applyBorder="1"/>
    <xf numFmtId="0" fontId="3" fillId="0" borderId="0" xfId="0" applyFont="1" applyBorder="1"/>
    <xf numFmtId="2" fontId="0" fillId="0" borderId="0" xfId="0" applyNumberFormat="1" applyBorder="1"/>
    <xf numFmtId="2" fontId="3" fillId="0" borderId="0" xfId="0" applyNumberFormat="1" applyFont="1" applyBorder="1"/>
    <xf numFmtId="0" fontId="0" fillId="0" borderId="0" xfId="0" applyFill="1"/>
    <xf numFmtId="0" fontId="0" fillId="0" borderId="4" xfId="0" applyFill="1" applyBorder="1"/>
    <xf numFmtId="0" fontId="0" fillId="0" borderId="5" xfId="0" applyFill="1" applyBorder="1"/>
    <xf numFmtId="0" fontId="3" fillId="0" borderId="0" xfId="0" applyFont="1" applyFill="1"/>
    <xf numFmtId="0" fontId="0" fillId="0" borderId="6" xfId="0" applyFill="1" applyBorder="1"/>
    <xf numFmtId="0" fontId="3" fillId="0" borderId="7" xfId="0" applyFont="1" applyFill="1" applyBorder="1"/>
    <xf numFmtId="0" fontId="0" fillId="0" borderId="7" xfId="0" applyFill="1" applyBorder="1"/>
    <xf numFmtId="0" fontId="0" fillId="0" borderId="8" xfId="0" applyFill="1" applyBorder="1"/>
    <xf numFmtId="165" fontId="6" fillId="0" borderId="0" xfId="3" applyNumberFormat="1" applyFont="1" applyBorder="1"/>
    <xf numFmtId="14" fontId="6" fillId="0" borderId="0" xfId="4" applyNumberFormat="1" applyFont="1" applyBorder="1"/>
    <xf numFmtId="164" fontId="0" fillId="0" borderId="0" xfId="0" applyNumberFormat="1" applyBorder="1"/>
    <xf numFmtId="9" fontId="0" fillId="0" borderId="0" xfId="2" applyFont="1" applyBorder="1"/>
    <xf numFmtId="164" fontId="0" fillId="0" borderId="0" xfId="1" applyFont="1" applyBorder="1"/>
    <xf numFmtId="166" fontId="6" fillId="0" borderId="0" xfId="3" applyNumberFormat="1" applyFont="1" applyBorder="1"/>
  </cellXfs>
  <cellStyles count="5">
    <cellStyle name="Comma" xfId="1" builtinId="3"/>
    <cellStyle name="Normal" xfId="0" builtinId="0"/>
    <cellStyle name="Normal 3" xfId="4" xr:uid="{92043163-43CB-46C3-811B-D7A66F6F49D5}"/>
    <cellStyle name="Percent" xfId="2" builtinId="5"/>
    <cellStyle name="Pourcentage 3" xfId="3" xr:uid="{74774F52-F961-4C72-80B7-F3481FC84A8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-CUBE/3_Missions/7_GDFS-Flex/2_Travail/Excel/1_Mod&#233;lisation%20stockage/Mod&#233;lisation%20SB/v83/140908%20Valo%20stockage%20v83%20-%20AS%20tunnels%20MIN%20-%20NOR%20Fwd%2015%20ma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s_calcul"/>
      <sheetName val="Temp"/>
      <sheetName val="Abscisse graphe"/>
      <sheetName val="AS inj sout Saline"/>
      <sheetName val="AS inj sout Sediane Nord"/>
      <sheetName val="AS inj sout Serene Littoral"/>
      <sheetName val="Valorisation"/>
      <sheetName val="Instrument"/>
      <sheetName val="Résultats"/>
      <sheetName val="Adresse"/>
      <sheetName val="Scenarios"/>
      <sheetName val="Spread NS"/>
      <sheetName val="Saline"/>
      <sheetName val="Serene Nord"/>
      <sheetName val="Serene Sud"/>
      <sheetName val="Sediane B"/>
      <sheetName val="Sediane Nord"/>
      <sheetName val="Serene Littoral"/>
      <sheetName val="TIGF Equilibre"/>
      <sheetName val="TIGF Dynamique"/>
      <sheetName val="TIGF Super dynamique"/>
      <sheetName val="TIGF Super dynamique plus"/>
      <sheetName val="Zuidwending"/>
      <sheetName val="Coûts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">
          <cell r="H9">
            <v>1</v>
          </cell>
        </row>
        <row r="10">
          <cell r="H10">
            <v>0</v>
          </cell>
        </row>
        <row r="12">
          <cell r="H12">
            <v>0</v>
          </cell>
        </row>
        <row r="13">
          <cell r="H13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F3DFA-2871-405D-A5BF-CD6CE5DEF44F}">
  <sheetPr codeName="Feuil21">
    <tabColor theme="9"/>
  </sheetPr>
  <dimension ref="A2:APF1350"/>
  <sheetViews>
    <sheetView tabSelected="1" zoomScale="70" zoomScaleNormal="70" workbookViewId="0">
      <selection activeCell="F10" sqref="F10"/>
    </sheetView>
  </sheetViews>
  <sheetFormatPr defaultColWidth="10.90625" defaultRowHeight="14.5" x14ac:dyDescent="0.35"/>
  <cols>
    <col min="1" max="1" width="8.81640625" customWidth="1"/>
    <col min="2" max="2" width="22.453125" customWidth="1"/>
    <col min="3" max="3" width="41.54296875" bestFit="1" customWidth="1"/>
    <col min="4" max="6" width="22.453125" customWidth="1"/>
    <col min="7" max="7" width="40.1796875" bestFit="1" customWidth="1"/>
    <col min="8" max="12" width="22.453125" customWidth="1"/>
    <col min="13" max="16" width="8.81640625" customWidth="1"/>
    <col min="17" max="17" width="13" bestFit="1" customWidth="1"/>
    <col min="18" max="18" width="25.54296875" bestFit="1" customWidth="1"/>
    <col min="19" max="19" width="28.453125" bestFit="1" customWidth="1"/>
    <col min="20" max="78" width="8.81640625" customWidth="1"/>
    <col min="79" max="79" width="16.453125" customWidth="1"/>
    <col min="80" max="174" width="8.81640625" customWidth="1"/>
    <col min="175" max="175" width="15.81640625" customWidth="1"/>
    <col min="176" max="215" width="8.81640625" customWidth="1"/>
    <col min="216" max="216" width="13.1796875" customWidth="1"/>
    <col min="217" max="218" width="8.81640625" customWidth="1"/>
    <col min="219" max="219" width="12.81640625" customWidth="1"/>
    <col min="220" max="232" width="8.81640625" customWidth="1"/>
    <col min="233" max="233" width="14" customWidth="1"/>
    <col min="234" max="256" width="8.81640625" customWidth="1"/>
    <col min="321" max="321" width="13.453125" customWidth="1"/>
    <col min="366" max="366" width="14.453125" customWidth="1"/>
  </cols>
  <sheetData>
    <row r="2" spans="1:12" x14ac:dyDescent="0.35">
      <c r="B2" t="s">
        <v>0</v>
      </c>
    </row>
    <row r="3" spans="1:12" x14ac:dyDescent="0.35">
      <c r="B3" s="1"/>
      <c r="C3" s="2"/>
      <c r="D3" s="2"/>
      <c r="E3" s="2"/>
      <c r="F3" s="2"/>
      <c r="G3" s="2"/>
      <c r="H3" s="2"/>
      <c r="I3" s="2"/>
      <c r="J3" s="3"/>
    </row>
    <row r="4" spans="1:12" x14ac:dyDescent="0.35">
      <c r="B4" s="4"/>
      <c r="C4" t="s">
        <v>1</v>
      </c>
      <c r="D4" s="5">
        <v>18</v>
      </c>
      <c r="E4" s="6" t="s">
        <v>2</v>
      </c>
      <c r="J4" s="7"/>
    </row>
    <row r="5" spans="1:12" x14ac:dyDescent="0.35">
      <c r="B5" s="4"/>
      <c r="C5" t="s">
        <v>3</v>
      </c>
      <c r="D5" s="8">
        <f>D4/107*[1]Instrument!$H$9+[1]Instrument!$H$12</f>
        <v>0.16822429906542055</v>
      </c>
      <c r="E5" t="s">
        <v>4</v>
      </c>
      <c r="J5" s="7"/>
    </row>
    <row r="6" spans="1:12" x14ac:dyDescent="0.35">
      <c r="B6" s="4"/>
      <c r="C6" t="s">
        <v>5</v>
      </c>
      <c r="D6" s="9">
        <f>MAX(I29:I242)</f>
        <v>187</v>
      </c>
      <c r="E6" t="s">
        <v>6</v>
      </c>
      <c r="J6" s="7"/>
    </row>
    <row r="7" spans="1:12" x14ac:dyDescent="0.35">
      <c r="B7" s="4"/>
      <c r="C7" t="s">
        <v>7</v>
      </c>
      <c r="D7" s="9">
        <f>1+[1]Instrument!$H$13</f>
        <v>1</v>
      </c>
      <c r="E7" t="s">
        <v>4</v>
      </c>
      <c r="J7" s="7"/>
      <c r="K7" s="6"/>
    </row>
    <row r="8" spans="1:12" x14ac:dyDescent="0.35">
      <c r="B8" s="4"/>
      <c r="C8" t="s">
        <v>8</v>
      </c>
      <c r="D8" s="9">
        <f>SUMIF(B29:B242,1)</f>
        <v>23</v>
      </c>
      <c r="E8" t="s">
        <v>6</v>
      </c>
      <c r="J8" s="7"/>
    </row>
    <row r="9" spans="1:12" s="52" customFormat="1" x14ac:dyDescent="0.35">
      <c r="B9" s="53"/>
      <c r="J9" s="54"/>
    </row>
    <row r="10" spans="1:12" x14ac:dyDescent="0.35">
      <c r="B10" s="4"/>
      <c r="C10" t="s">
        <v>9</v>
      </c>
      <c r="D10" s="9">
        <v>9</v>
      </c>
      <c r="E10" t="s">
        <v>6</v>
      </c>
      <c r="J10" s="7"/>
    </row>
    <row r="11" spans="1:12" x14ac:dyDescent="0.35">
      <c r="B11" s="4"/>
      <c r="C11" s="6"/>
      <c r="D11" s="6"/>
      <c r="J11" s="7"/>
    </row>
    <row r="12" spans="1:12" s="52" customFormat="1" x14ac:dyDescent="0.35">
      <c r="B12" s="53"/>
      <c r="C12" s="55"/>
      <c r="J12" s="54"/>
    </row>
    <row r="13" spans="1:12" s="52" customFormat="1" x14ac:dyDescent="0.35">
      <c r="B13" s="56"/>
      <c r="C13" s="57"/>
      <c r="D13" s="57"/>
      <c r="E13" s="58"/>
      <c r="F13" s="58"/>
      <c r="G13" s="58"/>
      <c r="H13" s="58"/>
      <c r="I13" s="58"/>
      <c r="J13" s="59"/>
    </row>
    <row r="14" spans="1:12" x14ac:dyDescent="0.35">
      <c r="C14" s="6"/>
      <c r="D14" s="6"/>
    </row>
    <row r="15" spans="1:12" x14ac:dyDescent="0.35">
      <c r="A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35">
      <c r="A16" s="6"/>
      <c r="D16" s="6"/>
      <c r="E16" s="6"/>
      <c r="F16" s="6"/>
      <c r="G16" s="6"/>
      <c r="H16" s="13"/>
      <c r="I16" s="6"/>
      <c r="J16" s="6"/>
      <c r="K16" s="6"/>
      <c r="L16" s="6"/>
    </row>
    <row r="17" spans="1:205" x14ac:dyDescent="0.35">
      <c r="A17" s="6"/>
      <c r="D17" s="6"/>
      <c r="E17" s="6"/>
      <c r="F17" s="6"/>
      <c r="G17" s="6"/>
      <c r="H17" s="6"/>
      <c r="I17" s="6"/>
      <c r="J17" s="6"/>
      <c r="K17" s="6"/>
      <c r="L17" s="6"/>
    </row>
    <row r="18" spans="1:205" x14ac:dyDescent="0.35">
      <c r="A18" s="6"/>
      <c r="D18" s="6"/>
      <c r="E18" s="6"/>
      <c r="F18" s="6"/>
      <c r="G18" s="6"/>
      <c r="H18" s="6"/>
      <c r="I18" s="6"/>
      <c r="J18" s="6"/>
      <c r="K18" s="6"/>
      <c r="L18" s="6"/>
    </row>
    <row r="19" spans="1:205" x14ac:dyDescent="0.35">
      <c r="A19" s="6"/>
      <c r="B19" s="47"/>
      <c r="C19" s="48"/>
      <c r="D19" s="49"/>
      <c r="G19" s="6"/>
      <c r="H19" s="14" t="s">
        <v>10</v>
      </c>
      <c r="I19" s="15" t="s">
        <v>11</v>
      </c>
      <c r="J19" s="16"/>
      <c r="K19" s="14" t="s">
        <v>10</v>
      </c>
      <c r="L19" s="15" t="s">
        <v>12</v>
      </c>
    </row>
    <row r="20" spans="1:205" x14ac:dyDescent="0.35">
      <c r="B20" s="47"/>
      <c r="C20" s="50"/>
      <c r="D20" s="49"/>
      <c r="H20" s="18">
        <v>0</v>
      </c>
      <c r="I20" s="19">
        <v>1</v>
      </c>
      <c r="J20" s="16"/>
      <c r="K20" s="18">
        <v>0</v>
      </c>
      <c r="L20" s="19">
        <v>0.25</v>
      </c>
      <c r="R20" s="20"/>
      <c r="S20" s="20"/>
    </row>
    <row r="21" spans="1:205" x14ac:dyDescent="0.35">
      <c r="B21" s="49"/>
      <c r="C21" s="51"/>
      <c r="D21" s="49"/>
      <c r="H21" s="18">
        <f>85%*(1-[1]Instrument!$H$10)+[1]Instrument!$H$10</f>
        <v>0.85</v>
      </c>
      <c r="I21" s="19">
        <f>40%*(1-[1]Instrument!$H$10)+[1]Instrument!$H$10</f>
        <v>0.4</v>
      </c>
      <c r="J21" s="16"/>
      <c r="K21" s="18">
        <f>20%*(1-[1]Instrument!$H$10)</f>
        <v>0.2</v>
      </c>
      <c r="L21" s="19">
        <f>70%*(1-[1]Instrument!$H$10)+[1]Instrument!$H$10</f>
        <v>0.7</v>
      </c>
    </row>
    <row r="22" spans="1:205" x14ac:dyDescent="0.35">
      <c r="B22" s="49"/>
      <c r="C22" s="51"/>
      <c r="D22" s="49"/>
      <c r="H22" s="18">
        <v>1</v>
      </c>
      <c r="I22" s="19">
        <v>0.25</v>
      </c>
      <c r="J22" s="16"/>
      <c r="K22" s="18">
        <f>55%*(1-[1]Instrument!$H$10)</f>
        <v>0.55000000000000004</v>
      </c>
      <c r="L22" s="19">
        <v>1</v>
      </c>
    </row>
    <row r="23" spans="1:205" x14ac:dyDescent="0.35">
      <c r="B23" s="49"/>
      <c r="C23" s="51"/>
      <c r="D23" s="49"/>
      <c r="H23" s="18">
        <v>1</v>
      </c>
      <c r="I23" s="19">
        <v>0.25</v>
      </c>
      <c r="J23" s="20"/>
      <c r="K23" s="18">
        <v>1</v>
      </c>
      <c r="L23" s="19">
        <v>1</v>
      </c>
    </row>
    <row r="24" spans="1:205" x14ac:dyDescent="0.35">
      <c r="C24" s="6"/>
      <c r="D24" s="6"/>
      <c r="H24" s="18">
        <v>1</v>
      </c>
      <c r="I24" s="19">
        <v>0.25</v>
      </c>
      <c r="J24" s="20"/>
      <c r="K24" s="18">
        <v>1</v>
      </c>
      <c r="L24" s="19">
        <v>1</v>
      </c>
    </row>
    <row r="25" spans="1:205" x14ac:dyDescent="0.35">
      <c r="B25" s="21" t="s">
        <v>13</v>
      </c>
      <c r="C25" s="22"/>
      <c r="D25" s="22"/>
      <c r="E25" s="2"/>
      <c r="F25" s="3"/>
      <c r="H25" s="21" t="s">
        <v>14</v>
      </c>
      <c r="I25" s="2"/>
      <c r="J25" s="2"/>
      <c r="K25" s="2"/>
      <c r="L25" s="3"/>
    </row>
    <row r="26" spans="1:205" x14ac:dyDescent="0.35">
      <c r="B26" s="4"/>
      <c r="C26" s="6"/>
      <c r="D26" s="6"/>
      <c r="F26" s="7"/>
      <c r="H26" s="4"/>
      <c r="L26" s="7"/>
    </row>
    <row r="27" spans="1:205" x14ac:dyDescent="0.35">
      <c r="B27" s="4"/>
      <c r="C27" s="6" t="s">
        <v>15</v>
      </c>
      <c r="D27" s="6" t="s">
        <v>16</v>
      </c>
      <c r="E27" t="s">
        <v>17</v>
      </c>
      <c r="F27" s="7" t="s">
        <v>18</v>
      </c>
      <c r="H27" s="4"/>
      <c r="I27" s="6" t="s">
        <v>19</v>
      </c>
      <c r="J27" s="6" t="s">
        <v>16</v>
      </c>
      <c r="K27" t="s">
        <v>17</v>
      </c>
      <c r="L27" s="23" t="s">
        <v>18</v>
      </c>
    </row>
    <row r="28" spans="1:205" x14ac:dyDescent="0.35">
      <c r="B28" s="4"/>
      <c r="C28" s="6"/>
      <c r="D28" s="6"/>
      <c r="E28" s="6"/>
      <c r="F28" s="24"/>
      <c r="H28" s="4"/>
      <c r="I28" s="6"/>
      <c r="J28" s="6"/>
      <c r="K28" s="6"/>
      <c r="L28" s="24"/>
    </row>
    <row r="29" spans="1:205" x14ac:dyDescent="0.35">
      <c r="B29" s="4">
        <f>IF(F29&gt;0,1,0)</f>
        <v>1</v>
      </c>
      <c r="C29">
        <v>1</v>
      </c>
      <c r="D29">
        <v>1</v>
      </c>
      <c r="E29" s="25">
        <f>+D4</f>
        <v>18</v>
      </c>
      <c r="F29" s="7">
        <f>+E29/$D$4</f>
        <v>1</v>
      </c>
      <c r="H29" s="4">
        <f t="shared" ref="H29:H92" si="0">IF(L29&lt;1,1,0)</f>
        <v>1</v>
      </c>
      <c r="I29">
        <v>1</v>
      </c>
      <c r="J29" s="26">
        <f>D5</f>
        <v>0.16822429906542055</v>
      </c>
      <c r="K29" s="25">
        <v>0</v>
      </c>
      <c r="L29" s="27">
        <f>+K29/$D$4</f>
        <v>0</v>
      </c>
      <c r="Q29" s="28"/>
      <c r="R29" s="28" t="s">
        <v>20</v>
      </c>
      <c r="S29" s="28" t="s">
        <v>21</v>
      </c>
    </row>
    <row r="30" spans="1:205" x14ac:dyDescent="0.35">
      <c r="B30" s="4">
        <f t="shared" ref="B30:B52" si="1">IF(F30&gt;0,1,0)</f>
        <v>1</v>
      </c>
      <c r="C30">
        <f>+IF(B30,C29+1,0)</f>
        <v>2</v>
      </c>
      <c r="D30" s="26">
        <v>1</v>
      </c>
      <c r="E30" s="26">
        <f t="shared" ref="E30:E51" si="2">+E29-D29</f>
        <v>17</v>
      </c>
      <c r="F30" s="29">
        <f>+E30/$D$4</f>
        <v>0.94444444444444442</v>
      </c>
      <c r="H30" s="4">
        <f t="shared" si="0"/>
        <v>1</v>
      </c>
      <c r="I30">
        <f>+IF(H30,I29+1,0)</f>
        <v>2</v>
      </c>
      <c r="J30" s="26">
        <f>+$D$5*VLOOKUP(L30,$Q$30:$S$130,2,1)</f>
        <v>0.16822429906542055</v>
      </c>
      <c r="K30" s="25">
        <f>+K29+J29</f>
        <v>0.16822429906542055</v>
      </c>
      <c r="L30" s="27">
        <f t="shared" ref="L30:L93" si="3">+K30/$D$4</f>
        <v>9.3457943925233638E-3</v>
      </c>
      <c r="Q30" s="30">
        <v>0</v>
      </c>
      <c r="R30" s="31">
        <f>Cherche_debit_max($H$20:$I$24,Q30)</f>
        <v>1</v>
      </c>
      <c r="S30" s="31">
        <f>Cherche_debit_max($K$20:$L$24,Q30)</f>
        <v>0.25</v>
      </c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</row>
    <row r="31" spans="1:205" x14ac:dyDescent="0.35">
      <c r="B31" s="4">
        <f t="shared" si="1"/>
        <v>1</v>
      </c>
      <c r="C31">
        <f t="shared" ref="C31:C52" si="4">+IF(B31,C30+1,0)</f>
        <v>3</v>
      </c>
      <c r="D31" s="26">
        <v>1</v>
      </c>
      <c r="E31" s="26">
        <f t="shared" si="2"/>
        <v>16</v>
      </c>
      <c r="F31" s="29">
        <f t="shared" ref="F31:F52" si="5">+E31/$D$4</f>
        <v>0.88888888888888884</v>
      </c>
      <c r="H31" s="4">
        <f t="shared" si="0"/>
        <v>1</v>
      </c>
      <c r="I31">
        <f t="shared" ref="I31:I94" si="6">+IF(H31,I30+1,0)</f>
        <v>3</v>
      </c>
      <c r="J31" s="26">
        <f t="shared" ref="J31:J94" si="7">+$D$5*VLOOKUP(L31,$Q$30:$S$130,2,1)</f>
        <v>0.16703683342495876</v>
      </c>
      <c r="K31" s="25">
        <f t="shared" ref="K31:K94" si="8">+K30+J30</f>
        <v>0.3364485981308411</v>
      </c>
      <c r="L31" s="27">
        <f t="shared" si="3"/>
        <v>1.8691588785046728E-2</v>
      </c>
      <c r="Q31" s="30">
        <v>0.01</v>
      </c>
      <c r="R31" s="31">
        <f t="shared" ref="R31:R94" si="9">Cherche_debit_max($H$20:$I$24,Q31)</f>
        <v>0.99294117647058822</v>
      </c>
      <c r="S31" s="31">
        <f t="shared" ref="S31:S94" si="10">Cherche_debit_max($K$20:$L$24,Q31)</f>
        <v>0.27250000000000002</v>
      </c>
    </row>
    <row r="32" spans="1:205" x14ac:dyDescent="0.35">
      <c r="B32" s="4">
        <f t="shared" si="1"/>
        <v>1</v>
      </c>
      <c r="C32">
        <f t="shared" si="4"/>
        <v>4</v>
      </c>
      <c r="D32" s="26">
        <v>1</v>
      </c>
      <c r="E32" s="26">
        <f t="shared" si="2"/>
        <v>15</v>
      </c>
      <c r="F32" s="29">
        <f t="shared" si="5"/>
        <v>0.83333333333333337</v>
      </c>
      <c r="H32" s="4">
        <f t="shared" si="0"/>
        <v>1</v>
      </c>
      <c r="I32">
        <f t="shared" si="6"/>
        <v>4</v>
      </c>
      <c r="J32" s="26">
        <f t="shared" si="7"/>
        <v>0.16584936778449696</v>
      </c>
      <c r="K32" s="25">
        <f t="shared" si="8"/>
        <v>0.50348543155579983</v>
      </c>
      <c r="L32" s="27">
        <f t="shared" si="3"/>
        <v>2.7971412864211103E-2</v>
      </c>
      <c r="Q32" s="30">
        <v>0.02</v>
      </c>
      <c r="R32" s="31">
        <f t="shared" si="9"/>
        <v>0.98588235294117643</v>
      </c>
      <c r="S32" s="31">
        <f t="shared" si="10"/>
        <v>0.29499999999999998</v>
      </c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</row>
    <row r="33" spans="2:19" x14ac:dyDescent="0.35">
      <c r="B33" s="4">
        <f t="shared" si="1"/>
        <v>1</v>
      </c>
      <c r="C33">
        <f t="shared" si="4"/>
        <v>5</v>
      </c>
      <c r="D33" s="26">
        <v>1</v>
      </c>
      <c r="E33" s="26">
        <f t="shared" si="2"/>
        <v>14</v>
      </c>
      <c r="F33" s="29">
        <f t="shared" si="5"/>
        <v>0.77777777777777779</v>
      </c>
      <c r="H33" s="4">
        <f t="shared" si="0"/>
        <v>1</v>
      </c>
      <c r="I33">
        <f t="shared" si="6"/>
        <v>5</v>
      </c>
      <c r="J33" s="26">
        <f t="shared" si="7"/>
        <v>0.16466190214403517</v>
      </c>
      <c r="K33" s="25">
        <f t="shared" si="8"/>
        <v>0.66933479934029683</v>
      </c>
      <c r="L33" s="27">
        <f t="shared" si="3"/>
        <v>3.7185266630016492E-2</v>
      </c>
      <c r="Q33" s="30">
        <v>0.03</v>
      </c>
      <c r="R33" s="31">
        <f t="shared" si="9"/>
        <v>0.97882352941176476</v>
      </c>
      <c r="S33" s="31">
        <f t="shared" si="10"/>
        <v>0.3175</v>
      </c>
    </row>
    <row r="34" spans="2:19" x14ac:dyDescent="0.35">
      <c r="B34" s="4">
        <f t="shared" si="1"/>
        <v>1</v>
      </c>
      <c r="C34">
        <f t="shared" si="4"/>
        <v>6</v>
      </c>
      <c r="D34" s="26">
        <v>1</v>
      </c>
      <c r="E34" s="26">
        <f t="shared" si="2"/>
        <v>13</v>
      </c>
      <c r="F34" s="29">
        <f t="shared" si="5"/>
        <v>0.72222222222222221</v>
      </c>
      <c r="H34" s="4">
        <f t="shared" si="0"/>
        <v>1</v>
      </c>
      <c r="I34">
        <f t="shared" si="6"/>
        <v>6</v>
      </c>
      <c r="J34" s="26">
        <f t="shared" si="7"/>
        <v>0.16347443650357338</v>
      </c>
      <c r="K34" s="25">
        <f t="shared" si="8"/>
        <v>0.83399670148433203</v>
      </c>
      <c r="L34" s="27">
        <f t="shared" si="3"/>
        <v>4.6333150082462887E-2</v>
      </c>
      <c r="Q34" s="30">
        <v>0.04</v>
      </c>
      <c r="R34" s="31">
        <f t="shared" si="9"/>
        <v>0.97176470588235297</v>
      </c>
      <c r="S34" s="31">
        <f t="shared" si="10"/>
        <v>0.33999999999999997</v>
      </c>
    </row>
    <row r="35" spans="2:19" x14ac:dyDescent="0.35">
      <c r="B35" s="4">
        <f t="shared" si="1"/>
        <v>1</v>
      </c>
      <c r="C35">
        <f t="shared" si="4"/>
        <v>7</v>
      </c>
      <c r="D35" s="26">
        <v>1</v>
      </c>
      <c r="E35" s="26">
        <f t="shared" si="2"/>
        <v>12</v>
      </c>
      <c r="F35" s="29">
        <f t="shared" si="5"/>
        <v>0.66666666666666663</v>
      </c>
      <c r="H35" s="4">
        <f t="shared" si="0"/>
        <v>1</v>
      </c>
      <c r="I35">
        <f t="shared" si="6"/>
        <v>7</v>
      </c>
      <c r="J35" s="26">
        <f t="shared" si="7"/>
        <v>0.16228697086311158</v>
      </c>
      <c r="K35" s="25">
        <f t="shared" si="8"/>
        <v>0.99747113798790543</v>
      </c>
      <c r="L35" s="27">
        <f t="shared" si="3"/>
        <v>5.5415063221550299E-2</v>
      </c>
      <c r="Q35" s="30">
        <v>0.05</v>
      </c>
      <c r="R35" s="31">
        <f t="shared" si="9"/>
        <v>0.96470588235294119</v>
      </c>
      <c r="S35" s="31">
        <f t="shared" si="10"/>
        <v>0.36249999999999999</v>
      </c>
    </row>
    <row r="36" spans="2:19" x14ac:dyDescent="0.35">
      <c r="B36" s="4">
        <f t="shared" si="1"/>
        <v>1</v>
      </c>
      <c r="C36">
        <f t="shared" si="4"/>
        <v>8</v>
      </c>
      <c r="D36" s="26">
        <v>1</v>
      </c>
      <c r="E36" s="26">
        <f t="shared" si="2"/>
        <v>11</v>
      </c>
      <c r="F36" s="29">
        <f t="shared" si="5"/>
        <v>0.61111111111111116</v>
      </c>
      <c r="H36" s="4">
        <f t="shared" si="0"/>
        <v>1</v>
      </c>
      <c r="I36">
        <f t="shared" si="6"/>
        <v>8</v>
      </c>
      <c r="J36" s="26">
        <f t="shared" si="7"/>
        <v>0.16109950522264979</v>
      </c>
      <c r="K36" s="25">
        <f t="shared" si="8"/>
        <v>1.1597581088510169</v>
      </c>
      <c r="L36" s="27">
        <f t="shared" si="3"/>
        <v>6.4431006047278722E-2</v>
      </c>
      <c r="Q36" s="30">
        <v>6.0000000000000005E-2</v>
      </c>
      <c r="R36" s="31">
        <f t="shared" si="9"/>
        <v>0.95764705882352941</v>
      </c>
      <c r="S36" s="31">
        <f t="shared" si="10"/>
        <v>0.38500000000000001</v>
      </c>
    </row>
    <row r="37" spans="2:19" x14ac:dyDescent="0.35">
      <c r="B37" s="4">
        <f t="shared" si="1"/>
        <v>1</v>
      </c>
      <c r="C37">
        <f t="shared" si="4"/>
        <v>9</v>
      </c>
      <c r="D37" s="26">
        <v>1</v>
      </c>
      <c r="E37" s="26">
        <f t="shared" si="2"/>
        <v>10</v>
      </c>
      <c r="F37" s="29">
        <f t="shared" si="5"/>
        <v>0.55555555555555558</v>
      </c>
      <c r="H37" s="4">
        <f t="shared" si="0"/>
        <v>1</v>
      </c>
      <c r="I37">
        <f t="shared" si="6"/>
        <v>9</v>
      </c>
      <c r="J37" s="26">
        <f t="shared" si="7"/>
        <v>0.159912039582188</v>
      </c>
      <c r="K37" s="25">
        <f t="shared" si="8"/>
        <v>1.3208576140736668</v>
      </c>
      <c r="L37" s="27">
        <f t="shared" si="3"/>
        <v>7.3380978559648147E-2</v>
      </c>
      <c r="Q37" s="30">
        <v>7.0000000000000007E-2</v>
      </c>
      <c r="R37" s="31">
        <f t="shared" si="9"/>
        <v>0.95058823529411762</v>
      </c>
      <c r="S37" s="31">
        <f t="shared" si="10"/>
        <v>0.40749999999999997</v>
      </c>
    </row>
    <row r="38" spans="2:19" x14ac:dyDescent="0.35">
      <c r="B38" s="4">
        <f t="shared" si="1"/>
        <v>1</v>
      </c>
      <c r="C38">
        <f t="shared" si="4"/>
        <v>10</v>
      </c>
      <c r="D38" s="26">
        <v>0.9571428571428573</v>
      </c>
      <c r="E38" s="26">
        <f t="shared" si="2"/>
        <v>9</v>
      </c>
      <c r="F38" s="29">
        <f t="shared" si="5"/>
        <v>0.5</v>
      </c>
      <c r="H38" s="4">
        <f t="shared" si="0"/>
        <v>1</v>
      </c>
      <c r="I38">
        <f t="shared" si="6"/>
        <v>10</v>
      </c>
      <c r="J38" s="26">
        <f t="shared" si="7"/>
        <v>0.1587245739417262</v>
      </c>
      <c r="K38" s="25">
        <f t="shared" si="8"/>
        <v>1.4807696536558548</v>
      </c>
      <c r="L38" s="27">
        <f t="shared" si="3"/>
        <v>8.2264980758658596E-2</v>
      </c>
      <c r="Q38" s="30">
        <v>0.08</v>
      </c>
      <c r="R38" s="31">
        <f t="shared" si="9"/>
        <v>0.94352941176470584</v>
      </c>
      <c r="S38" s="31">
        <f t="shared" si="10"/>
        <v>0.42999999999999994</v>
      </c>
    </row>
    <row r="39" spans="2:19" x14ac:dyDescent="0.35">
      <c r="B39" s="4">
        <f t="shared" si="1"/>
        <v>1</v>
      </c>
      <c r="C39">
        <f t="shared" si="4"/>
        <v>11</v>
      </c>
      <c r="D39" s="26">
        <v>0.90571428571428592</v>
      </c>
      <c r="E39" s="26">
        <f t="shared" si="2"/>
        <v>8.0428571428571427</v>
      </c>
      <c r="F39" s="29">
        <f t="shared" si="5"/>
        <v>0.44682539682539679</v>
      </c>
      <c r="H39" s="4">
        <f t="shared" si="0"/>
        <v>1</v>
      </c>
      <c r="I39">
        <f t="shared" si="6"/>
        <v>11</v>
      </c>
      <c r="J39" s="26">
        <f t="shared" si="7"/>
        <v>0.15753710830126444</v>
      </c>
      <c r="K39" s="25">
        <f t="shared" si="8"/>
        <v>1.639494227597581</v>
      </c>
      <c r="L39" s="27">
        <f t="shared" si="3"/>
        <v>9.1083012644310055E-2</v>
      </c>
      <c r="Q39" s="30">
        <v>0.09</v>
      </c>
      <c r="R39" s="31">
        <f t="shared" si="9"/>
        <v>0.93647058823529417</v>
      </c>
      <c r="S39" s="31">
        <f t="shared" si="10"/>
        <v>0.45249999999999996</v>
      </c>
    </row>
    <row r="40" spans="2:19" x14ac:dyDescent="0.35">
      <c r="B40" s="4">
        <f t="shared" si="1"/>
        <v>1</v>
      </c>
      <c r="C40">
        <f t="shared" si="4"/>
        <v>12</v>
      </c>
      <c r="D40" s="26">
        <v>0.86285714285714299</v>
      </c>
      <c r="E40" s="26">
        <f t="shared" si="2"/>
        <v>7.137142857142857</v>
      </c>
      <c r="F40" s="29">
        <f t="shared" si="5"/>
        <v>0.39650793650793648</v>
      </c>
      <c r="H40" s="4">
        <f t="shared" si="0"/>
        <v>1</v>
      </c>
      <c r="I40">
        <f t="shared" si="6"/>
        <v>12</v>
      </c>
      <c r="J40" s="26">
        <f t="shared" si="7"/>
        <v>0.15753710830126444</v>
      </c>
      <c r="K40" s="25">
        <f t="shared" si="8"/>
        <v>1.7970313358988454</v>
      </c>
      <c r="L40" s="27">
        <f t="shared" si="3"/>
        <v>9.9835074216602523E-2</v>
      </c>
      <c r="Q40" s="30">
        <v>9.9999999999999992E-2</v>
      </c>
      <c r="R40" s="31">
        <f t="shared" si="9"/>
        <v>0.92941176470588238</v>
      </c>
      <c r="S40" s="31">
        <f t="shared" si="10"/>
        <v>0.47499999999999998</v>
      </c>
    </row>
    <row r="41" spans="2:19" x14ac:dyDescent="0.35">
      <c r="B41" s="4">
        <f t="shared" si="1"/>
        <v>1</v>
      </c>
      <c r="C41">
        <f t="shared" si="4"/>
        <v>13</v>
      </c>
      <c r="D41" s="26">
        <v>0.82</v>
      </c>
      <c r="E41" s="26">
        <f t="shared" si="2"/>
        <v>6.274285714285714</v>
      </c>
      <c r="F41" s="29">
        <f t="shared" si="5"/>
        <v>0.34857142857142853</v>
      </c>
      <c r="H41" s="4">
        <f t="shared" si="0"/>
        <v>1</v>
      </c>
      <c r="I41">
        <f t="shared" si="6"/>
        <v>13</v>
      </c>
      <c r="J41" s="26">
        <f t="shared" si="7"/>
        <v>0.15634964266080265</v>
      </c>
      <c r="K41" s="25">
        <f t="shared" si="8"/>
        <v>1.9545684442001099</v>
      </c>
      <c r="L41" s="27">
        <f t="shared" si="3"/>
        <v>0.10858713578889499</v>
      </c>
      <c r="Q41" s="30">
        <v>0.10999999999999999</v>
      </c>
      <c r="R41" s="31">
        <f t="shared" si="9"/>
        <v>0.9223529411764706</v>
      </c>
      <c r="S41" s="31">
        <f t="shared" si="10"/>
        <v>0.49749999999999994</v>
      </c>
    </row>
    <row r="42" spans="2:19" x14ac:dyDescent="0.35">
      <c r="B42" s="4">
        <f t="shared" si="1"/>
        <v>1</v>
      </c>
      <c r="C42">
        <f t="shared" si="4"/>
        <v>14</v>
      </c>
      <c r="D42" s="26">
        <v>0.78571428571428581</v>
      </c>
      <c r="E42" s="26">
        <f t="shared" si="2"/>
        <v>5.4542857142857137</v>
      </c>
      <c r="F42" s="29">
        <f t="shared" si="5"/>
        <v>0.30301587301587296</v>
      </c>
      <c r="H42" s="4">
        <f t="shared" si="0"/>
        <v>1</v>
      </c>
      <c r="I42">
        <f t="shared" si="6"/>
        <v>14</v>
      </c>
      <c r="J42" s="26">
        <f t="shared" si="7"/>
        <v>0.15516217702034085</v>
      </c>
      <c r="K42" s="25">
        <f t="shared" si="8"/>
        <v>2.1109180868609125</v>
      </c>
      <c r="L42" s="27">
        <f t="shared" si="3"/>
        <v>0.11727322704782847</v>
      </c>
      <c r="Q42" s="30">
        <v>0.11999999999999998</v>
      </c>
      <c r="R42" s="31">
        <f t="shared" si="9"/>
        <v>0.91529411764705881</v>
      </c>
      <c r="S42" s="31">
        <f t="shared" si="10"/>
        <v>0.51999999999999991</v>
      </c>
    </row>
    <row r="43" spans="2:19" x14ac:dyDescent="0.35">
      <c r="B43" s="4">
        <f t="shared" si="1"/>
        <v>1</v>
      </c>
      <c r="C43">
        <f t="shared" si="4"/>
        <v>15</v>
      </c>
      <c r="D43" s="26">
        <v>0.74285714285714288</v>
      </c>
      <c r="E43" s="26">
        <f t="shared" si="2"/>
        <v>4.6685714285714282</v>
      </c>
      <c r="F43" s="29">
        <f t="shared" si="5"/>
        <v>0.25936507936507935</v>
      </c>
      <c r="H43" s="4">
        <f t="shared" si="0"/>
        <v>1</v>
      </c>
      <c r="I43">
        <f t="shared" si="6"/>
        <v>15</v>
      </c>
      <c r="J43" s="26">
        <f t="shared" si="7"/>
        <v>0.15397471137987903</v>
      </c>
      <c r="K43" s="25">
        <f t="shared" si="8"/>
        <v>2.2660802638812534</v>
      </c>
      <c r="L43" s="27">
        <f t="shared" si="3"/>
        <v>0.12589334799340296</v>
      </c>
      <c r="Q43" s="30">
        <v>0.12999999999999998</v>
      </c>
      <c r="R43" s="31">
        <f t="shared" si="9"/>
        <v>0.90823529411764703</v>
      </c>
      <c r="S43" s="31">
        <f t="shared" si="10"/>
        <v>0.54249999999999998</v>
      </c>
    </row>
    <row r="44" spans="2:19" x14ac:dyDescent="0.35">
      <c r="B44" s="4">
        <f t="shared" si="1"/>
        <v>1</v>
      </c>
      <c r="C44">
        <f t="shared" si="4"/>
        <v>16</v>
      </c>
      <c r="D44" s="26">
        <v>0.70857142857142863</v>
      </c>
      <c r="E44" s="26">
        <f t="shared" si="2"/>
        <v>3.9257142857142853</v>
      </c>
      <c r="F44" s="29">
        <f t="shared" si="5"/>
        <v>0.21809523809523806</v>
      </c>
      <c r="H44" s="4">
        <f t="shared" si="0"/>
        <v>1</v>
      </c>
      <c r="I44">
        <f t="shared" si="6"/>
        <v>16</v>
      </c>
      <c r="J44" s="26">
        <f t="shared" si="7"/>
        <v>0.15278724573941724</v>
      </c>
      <c r="K44" s="25">
        <f t="shared" si="8"/>
        <v>2.4200549752611322</v>
      </c>
      <c r="L44" s="27">
        <f t="shared" si="3"/>
        <v>0.13444749862561844</v>
      </c>
      <c r="Q44" s="30">
        <v>0.13999999999999999</v>
      </c>
      <c r="R44" s="31">
        <f t="shared" si="9"/>
        <v>0.90117647058823525</v>
      </c>
      <c r="S44" s="31">
        <f t="shared" si="10"/>
        <v>0.56499999999999995</v>
      </c>
    </row>
    <row r="45" spans="2:19" x14ac:dyDescent="0.35">
      <c r="B45" s="4">
        <f t="shared" si="1"/>
        <v>1</v>
      </c>
      <c r="C45">
        <f t="shared" si="4"/>
        <v>17</v>
      </c>
      <c r="D45" s="26">
        <v>0.63249999999999995</v>
      </c>
      <c r="E45" s="26">
        <f t="shared" si="2"/>
        <v>3.2171428571428566</v>
      </c>
      <c r="F45" s="29">
        <f t="shared" si="5"/>
        <v>0.17873015873015871</v>
      </c>
      <c r="H45" s="4">
        <f t="shared" si="0"/>
        <v>1</v>
      </c>
      <c r="I45">
        <f t="shared" si="6"/>
        <v>17</v>
      </c>
      <c r="J45" s="26">
        <f t="shared" si="7"/>
        <v>0.15159978009895544</v>
      </c>
      <c r="K45" s="25">
        <f t="shared" si="8"/>
        <v>2.5728422210005495</v>
      </c>
      <c r="L45" s="27">
        <f t="shared" si="3"/>
        <v>0.14293567894447498</v>
      </c>
      <c r="Q45" s="30">
        <v>0.15</v>
      </c>
      <c r="R45" s="31">
        <f t="shared" si="9"/>
        <v>0.89411764705882357</v>
      </c>
      <c r="S45" s="31">
        <f t="shared" si="10"/>
        <v>0.58749999999999991</v>
      </c>
    </row>
    <row r="46" spans="2:19" x14ac:dyDescent="0.35">
      <c r="B46" s="4">
        <f t="shared" si="1"/>
        <v>1</v>
      </c>
      <c r="C46">
        <f t="shared" si="4"/>
        <v>18</v>
      </c>
      <c r="D46" s="26">
        <v>0.56499999999999995</v>
      </c>
      <c r="E46" s="26">
        <f t="shared" si="2"/>
        <v>2.5846428571428568</v>
      </c>
      <c r="F46" s="29">
        <f t="shared" si="5"/>
        <v>0.14359126984126983</v>
      </c>
      <c r="H46" s="4">
        <f t="shared" si="0"/>
        <v>1</v>
      </c>
      <c r="I46">
        <f t="shared" si="6"/>
        <v>18</v>
      </c>
      <c r="J46" s="26">
        <f t="shared" si="7"/>
        <v>0.15041231445849368</v>
      </c>
      <c r="K46" s="25">
        <f t="shared" si="8"/>
        <v>2.7244420010995047</v>
      </c>
      <c r="L46" s="27">
        <f t="shared" si="3"/>
        <v>0.15135788894997249</v>
      </c>
      <c r="Q46" s="30">
        <v>0.16</v>
      </c>
      <c r="R46" s="31">
        <f t="shared" si="9"/>
        <v>0.88705882352941179</v>
      </c>
      <c r="S46" s="31">
        <f t="shared" si="10"/>
        <v>0.60999999999999988</v>
      </c>
    </row>
    <row r="47" spans="2:19" x14ac:dyDescent="0.35">
      <c r="B47" s="4">
        <f t="shared" si="1"/>
        <v>1</v>
      </c>
      <c r="C47">
        <f t="shared" si="4"/>
        <v>19</v>
      </c>
      <c r="D47" s="26">
        <v>0.4975</v>
      </c>
      <c r="E47" s="26">
        <f t="shared" si="2"/>
        <v>2.0196428571428569</v>
      </c>
      <c r="F47" s="29">
        <f t="shared" si="5"/>
        <v>0.11220238095238094</v>
      </c>
      <c r="H47" s="4">
        <f t="shared" si="0"/>
        <v>1</v>
      </c>
      <c r="I47">
        <f t="shared" si="6"/>
        <v>19</v>
      </c>
      <c r="J47" s="26">
        <f t="shared" si="7"/>
        <v>0.15041231445849368</v>
      </c>
      <c r="K47" s="25">
        <f t="shared" si="8"/>
        <v>2.8748543155579984</v>
      </c>
      <c r="L47" s="27">
        <f t="shared" si="3"/>
        <v>0.15971412864211101</v>
      </c>
      <c r="Q47" s="30">
        <v>0.17</v>
      </c>
      <c r="R47" s="31">
        <f t="shared" si="9"/>
        <v>0.88</v>
      </c>
      <c r="S47" s="31">
        <f t="shared" si="10"/>
        <v>0.63249999999999995</v>
      </c>
    </row>
    <row r="48" spans="2:19" x14ac:dyDescent="0.35">
      <c r="B48" s="4">
        <f t="shared" si="1"/>
        <v>1</v>
      </c>
      <c r="C48">
        <f t="shared" si="4"/>
        <v>20</v>
      </c>
      <c r="D48" s="26">
        <v>0.43</v>
      </c>
      <c r="E48" s="26">
        <f t="shared" si="2"/>
        <v>1.5221428571428568</v>
      </c>
      <c r="F48" s="29">
        <f t="shared" si="5"/>
        <v>8.4563492063492049E-2</v>
      </c>
      <c r="H48" s="4">
        <f t="shared" si="0"/>
        <v>1</v>
      </c>
      <c r="I48">
        <f t="shared" si="6"/>
        <v>20</v>
      </c>
      <c r="J48" s="26">
        <f t="shared" si="7"/>
        <v>0.14922484881803189</v>
      </c>
      <c r="K48" s="25">
        <f t="shared" si="8"/>
        <v>3.0252666300164921</v>
      </c>
      <c r="L48" s="27">
        <f t="shared" si="3"/>
        <v>0.16807036833424957</v>
      </c>
      <c r="Q48" s="30">
        <v>0.18000000000000002</v>
      </c>
      <c r="R48" s="31">
        <f t="shared" si="9"/>
        <v>0.87294117647058822</v>
      </c>
      <c r="S48" s="31">
        <f t="shared" si="10"/>
        <v>0.65500000000000003</v>
      </c>
    </row>
    <row r="49" spans="2:19" x14ac:dyDescent="0.35">
      <c r="B49" s="4">
        <f t="shared" si="1"/>
        <v>1</v>
      </c>
      <c r="C49">
        <f t="shared" si="4"/>
        <v>21</v>
      </c>
      <c r="D49" s="26">
        <v>0.38500000000000001</v>
      </c>
      <c r="E49" s="26">
        <f t="shared" si="2"/>
        <v>1.0921428571428569</v>
      </c>
      <c r="F49" s="29">
        <f t="shared" si="5"/>
        <v>6.0674603174603159E-2</v>
      </c>
      <c r="H49" s="4">
        <f t="shared" si="0"/>
        <v>1</v>
      </c>
      <c r="I49">
        <f t="shared" si="6"/>
        <v>21</v>
      </c>
      <c r="J49" s="26">
        <f t="shared" si="7"/>
        <v>0.14803738317757009</v>
      </c>
      <c r="K49" s="25">
        <f t="shared" si="8"/>
        <v>3.1744914788345238</v>
      </c>
      <c r="L49" s="27">
        <f t="shared" si="3"/>
        <v>0.17636063771302909</v>
      </c>
      <c r="Q49" s="30">
        <v>0.19000000000000003</v>
      </c>
      <c r="R49" s="31">
        <f t="shared" si="9"/>
        <v>0.86588235294117644</v>
      </c>
      <c r="S49" s="31">
        <f t="shared" si="10"/>
        <v>0.67749999999999999</v>
      </c>
    </row>
    <row r="50" spans="2:19" x14ac:dyDescent="0.35">
      <c r="B50" s="4">
        <f t="shared" si="1"/>
        <v>1</v>
      </c>
      <c r="C50">
        <f t="shared" si="4"/>
        <v>22</v>
      </c>
      <c r="D50" s="26">
        <v>0.3175</v>
      </c>
      <c r="E50" s="26">
        <f t="shared" si="2"/>
        <v>0.70714285714285685</v>
      </c>
      <c r="F50" s="29">
        <f t="shared" si="5"/>
        <v>3.9285714285714271E-2</v>
      </c>
      <c r="H50" s="4">
        <f t="shared" si="0"/>
        <v>1</v>
      </c>
      <c r="I50">
        <f t="shared" si="6"/>
        <v>22</v>
      </c>
      <c r="J50" s="26">
        <f t="shared" si="7"/>
        <v>0.1468499175371083</v>
      </c>
      <c r="K50" s="25">
        <f t="shared" si="8"/>
        <v>3.3225288620120939</v>
      </c>
      <c r="L50" s="27">
        <f t="shared" si="3"/>
        <v>0.18458493677844967</v>
      </c>
      <c r="Q50" s="30">
        <v>0.20000000000000004</v>
      </c>
      <c r="R50" s="31">
        <f t="shared" si="9"/>
        <v>0.85882352941176465</v>
      </c>
      <c r="S50" s="31">
        <f t="shared" si="10"/>
        <v>0.7</v>
      </c>
    </row>
    <row r="51" spans="2:19" x14ac:dyDescent="0.35">
      <c r="B51" s="4">
        <f t="shared" si="1"/>
        <v>1</v>
      </c>
      <c r="C51">
        <f t="shared" si="4"/>
        <v>23</v>
      </c>
      <c r="D51" s="26">
        <v>0.29499999999999998</v>
      </c>
      <c r="E51" s="26">
        <f t="shared" si="2"/>
        <v>0.38964285714285685</v>
      </c>
      <c r="F51" s="29">
        <f t="shared" si="5"/>
        <v>2.164682539682538E-2</v>
      </c>
      <c r="H51" s="4">
        <f t="shared" si="0"/>
        <v>1</v>
      </c>
      <c r="I51">
        <f t="shared" si="6"/>
        <v>23</v>
      </c>
      <c r="J51" s="26">
        <f t="shared" si="7"/>
        <v>0.14566245189664651</v>
      </c>
      <c r="K51" s="25">
        <f t="shared" si="8"/>
        <v>3.4693787795492019</v>
      </c>
      <c r="L51" s="27">
        <f t="shared" si="3"/>
        <v>0.19274326553051122</v>
      </c>
      <c r="Q51" s="30">
        <v>0.21000000000000005</v>
      </c>
      <c r="R51" s="31">
        <f t="shared" si="9"/>
        <v>0.85176470588235287</v>
      </c>
      <c r="S51" s="31">
        <f t="shared" si="10"/>
        <v>0.70857142857142852</v>
      </c>
    </row>
    <row r="52" spans="2:19" x14ac:dyDescent="0.35">
      <c r="B52" s="4">
        <f t="shared" si="1"/>
        <v>0</v>
      </c>
      <c r="C52">
        <f t="shared" si="4"/>
        <v>0</v>
      </c>
      <c r="D52" s="26">
        <v>0.25</v>
      </c>
      <c r="E52" s="26">
        <v>0</v>
      </c>
      <c r="F52" s="29">
        <f t="shared" si="5"/>
        <v>0</v>
      </c>
      <c r="H52" s="4">
        <f t="shared" si="0"/>
        <v>1</v>
      </c>
      <c r="I52">
        <f t="shared" si="6"/>
        <v>24</v>
      </c>
      <c r="J52" s="26">
        <f t="shared" si="7"/>
        <v>0.14447498625618471</v>
      </c>
      <c r="K52" s="25">
        <f t="shared" si="8"/>
        <v>3.6150412314458484</v>
      </c>
      <c r="L52" s="27">
        <f t="shared" si="3"/>
        <v>0.20083562396921381</v>
      </c>
      <c r="Q52" s="30">
        <v>0.22000000000000006</v>
      </c>
      <c r="R52" s="31">
        <f t="shared" si="9"/>
        <v>0.8447058823529412</v>
      </c>
      <c r="S52" s="31">
        <f t="shared" si="10"/>
        <v>0.71714285714285708</v>
      </c>
    </row>
    <row r="53" spans="2:19" x14ac:dyDescent="0.35">
      <c r="B53" s="4"/>
      <c r="D53" s="26"/>
      <c r="E53" s="26"/>
      <c r="F53" s="29"/>
      <c r="H53" s="4">
        <f t="shared" si="0"/>
        <v>1</v>
      </c>
      <c r="I53">
        <f t="shared" si="6"/>
        <v>25</v>
      </c>
      <c r="J53" s="26">
        <f t="shared" si="7"/>
        <v>0.14447498625618471</v>
      </c>
      <c r="K53" s="25">
        <f t="shared" si="8"/>
        <v>3.7595162177020329</v>
      </c>
      <c r="L53" s="27">
        <f t="shared" si="3"/>
        <v>0.20886201209455738</v>
      </c>
      <c r="Q53" s="30">
        <v>0.23000000000000007</v>
      </c>
      <c r="R53" s="31">
        <f t="shared" si="9"/>
        <v>0.83764705882352941</v>
      </c>
      <c r="S53" s="31">
        <f t="shared" si="10"/>
        <v>0.72571428571428576</v>
      </c>
    </row>
    <row r="54" spans="2:19" x14ac:dyDescent="0.35">
      <c r="B54" s="4"/>
      <c r="D54" s="26"/>
      <c r="E54" s="26"/>
      <c r="F54" s="29"/>
      <c r="H54" s="4">
        <f t="shared" si="0"/>
        <v>1</v>
      </c>
      <c r="I54">
        <f t="shared" si="6"/>
        <v>26</v>
      </c>
      <c r="J54" s="26">
        <f t="shared" si="7"/>
        <v>0.14328752061572289</v>
      </c>
      <c r="K54" s="25">
        <f t="shared" si="8"/>
        <v>3.9039912039582179</v>
      </c>
      <c r="L54" s="27">
        <f t="shared" si="3"/>
        <v>0.216888400219901</v>
      </c>
      <c r="Q54" s="30">
        <v>0.24000000000000007</v>
      </c>
      <c r="R54" s="31">
        <f t="shared" si="9"/>
        <v>0.83058823529411763</v>
      </c>
      <c r="S54" s="31">
        <f t="shared" si="10"/>
        <v>0.73428571428571432</v>
      </c>
    </row>
    <row r="55" spans="2:19" x14ac:dyDescent="0.35">
      <c r="B55" s="4"/>
      <c r="D55" s="26"/>
      <c r="E55" s="26"/>
      <c r="F55" s="29"/>
      <c r="H55" s="4">
        <f t="shared" si="0"/>
        <v>1</v>
      </c>
      <c r="I55">
        <f t="shared" si="6"/>
        <v>27</v>
      </c>
      <c r="J55" s="26">
        <f t="shared" si="7"/>
        <v>0.14210005497526113</v>
      </c>
      <c r="K55" s="25">
        <f t="shared" si="8"/>
        <v>4.0472787245739408</v>
      </c>
      <c r="L55" s="27">
        <f t="shared" si="3"/>
        <v>0.22484881803188561</v>
      </c>
      <c r="Q55" s="30">
        <v>0.25000000000000006</v>
      </c>
      <c r="R55" s="31">
        <f t="shared" si="9"/>
        <v>0.82352941176470584</v>
      </c>
      <c r="S55" s="31">
        <f t="shared" si="10"/>
        <v>0.74285714285714288</v>
      </c>
    </row>
    <row r="56" spans="2:19" x14ac:dyDescent="0.35">
      <c r="B56" s="4"/>
      <c r="D56" s="26"/>
      <c r="E56" s="26"/>
      <c r="F56" s="29"/>
      <c r="H56" s="4">
        <f t="shared" si="0"/>
        <v>1</v>
      </c>
      <c r="I56">
        <f t="shared" si="6"/>
        <v>28</v>
      </c>
      <c r="J56" s="26">
        <f t="shared" si="7"/>
        <v>0.14091258933479933</v>
      </c>
      <c r="K56" s="25">
        <f t="shared" si="8"/>
        <v>4.1893787795492017</v>
      </c>
      <c r="L56" s="27">
        <f t="shared" si="3"/>
        <v>0.2327432655305112</v>
      </c>
      <c r="Q56" s="30">
        <v>0.26000000000000006</v>
      </c>
      <c r="R56" s="31">
        <f t="shared" si="9"/>
        <v>0.81647058823529406</v>
      </c>
      <c r="S56" s="31">
        <f t="shared" si="10"/>
        <v>0.75142857142857145</v>
      </c>
    </row>
    <row r="57" spans="2:19" x14ac:dyDescent="0.35">
      <c r="B57" s="4"/>
      <c r="D57" s="26"/>
      <c r="E57" s="26"/>
      <c r="F57" s="29"/>
      <c r="H57" s="4">
        <f t="shared" si="0"/>
        <v>1</v>
      </c>
      <c r="I57">
        <f t="shared" si="6"/>
        <v>29</v>
      </c>
      <c r="J57" s="26">
        <f t="shared" si="7"/>
        <v>0.13972512369433754</v>
      </c>
      <c r="K57" s="25">
        <f t="shared" si="8"/>
        <v>4.3302913688840015</v>
      </c>
      <c r="L57" s="27">
        <f t="shared" si="3"/>
        <v>0.24057174271577786</v>
      </c>
      <c r="Q57" s="30">
        <v>0.27000000000000007</v>
      </c>
      <c r="R57" s="31">
        <f t="shared" si="9"/>
        <v>0.80941176470588228</v>
      </c>
      <c r="S57" s="31">
        <f t="shared" si="10"/>
        <v>0.76</v>
      </c>
    </row>
    <row r="58" spans="2:19" x14ac:dyDescent="0.35">
      <c r="B58" s="4"/>
      <c r="D58" s="26"/>
      <c r="E58" s="26"/>
      <c r="F58" s="29"/>
      <c r="H58" s="4">
        <f t="shared" si="0"/>
        <v>1</v>
      </c>
      <c r="I58">
        <f t="shared" si="6"/>
        <v>30</v>
      </c>
      <c r="J58" s="26">
        <f t="shared" si="7"/>
        <v>0.13972512369433754</v>
      </c>
      <c r="K58" s="25">
        <f t="shared" si="8"/>
        <v>4.4700164925783392</v>
      </c>
      <c r="L58" s="27">
        <f t="shared" si="3"/>
        <v>0.24833424958768552</v>
      </c>
      <c r="Q58" s="30">
        <v>0.28000000000000008</v>
      </c>
      <c r="R58" s="31">
        <f t="shared" si="9"/>
        <v>0.80235294117647049</v>
      </c>
      <c r="S58" s="31">
        <f t="shared" si="10"/>
        <v>0.76857142857142857</v>
      </c>
    </row>
    <row r="59" spans="2:19" x14ac:dyDescent="0.35">
      <c r="B59" s="4"/>
      <c r="D59" s="26"/>
      <c r="E59" s="26"/>
      <c r="F59" s="29"/>
      <c r="H59" s="4">
        <f t="shared" si="0"/>
        <v>1</v>
      </c>
      <c r="I59">
        <f t="shared" si="6"/>
        <v>31</v>
      </c>
      <c r="J59" s="26">
        <f t="shared" si="7"/>
        <v>0.13853765805387575</v>
      </c>
      <c r="K59" s="25">
        <f t="shared" si="8"/>
        <v>4.609741616272677</v>
      </c>
      <c r="L59" s="27">
        <f t="shared" si="3"/>
        <v>0.25609675645959318</v>
      </c>
      <c r="Q59" s="30">
        <v>0.29000000000000009</v>
      </c>
      <c r="R59" s="31">
        <f t="shared" si="9"/>
        <v>0.79529411764705871</v>
      </c>
      <c r="S59" s="31">
        <f t="shared" si="10"/>
        <v>0.77714285714285714</v>
      </c>
    </row>
    <row r="60" spans="2:19" x14ac:dyDescent="0.35">
      <c r="B60" s="4"/>
      <c r="D60" s="26"/>
      <c r="E60" s="26"/>
      <c r="F60" s="29"/>
      <c r="H60" s="4">
        <f t="shared" si="0"/>
        <v>1</v>
      </c>
      <c r="I60">
        <f t="shared" si="6"/>
        <v>32</v>
      </c>
      <c r="J60" s="26">
        <f t="shared" si="7"/>
        <v>0.13735019241341395</v>
      </c>
      <c r="K60" s="25">
        <f t="shared" si="8"/>
        <v>4.7482792743265527</v>
      </c>
      <c r="L60" s="27">
        <f t="shared" si="3"/>
        <v>0.26379329301814181</v>
      </c>
      <c r="Q60" s="30">
        <v>0.3000000000000001</v>
      </c>
      <c r="R60" s="31">
        <f t="shared" si="9"/>
        <v>0.78823529411764692</v>
      </c>
      <c r="S60" s="31">
        <f t="shared" si="10"/>
        <v>0.78571428571428581</v>
      </c>
    </row>
    <row r="61" spans="2:19" x14ac:dyDescent="0.35">
      <c r="B61" s="4"/>
      <c r="D61" s="26"/>
      <c r="E61" s="26"/>
      <c r="F61" s="29"/>
      <c r="H61" s="4">
        <f t="shared" si="0"/>
        <v>1</v>
      </c>
      <c r="I61">
        <f t="shared" si="6"/>
        <v>33</v>
      </c>
      <c r="J61" s="26">
        <f t="shared" si="7"/>
        <v>0.13616272677295216</v>
      </c>
      <c r="K61" s="25">
        <f t="shared" si="8"/>
        <v>4.8856294667399665</v>
      </c>
      <c r="L61" s="27">
        <f t="shared" si="3"/>
        <v>0.27142385926333146</v>
      </c>
      <c r="Q61" s="30">
        <v>0.31000000000000011</v>
      </c>
      <c r="R61" s="31">
        <f t="shared" si="9"/>
        <v>0.78117647058823525</v>
      </c>
      <c r="S61" s="31">
        <f t="shared" si="10"/>
        <v>0.79428571428571437</v>
      </c>
    </row>
    <row r="62" spans="2:19" x14ac:dyDescent="0.35">
      <c r="B62" s="4"/>
      <c r="D62" s="26"/>
      <c r="E62" s="26"/>
      <c r="F62" s="29"/>
      <c r="H62" s="4">
        <f t="shared" si="0"/>
        <v>1</v>
      </c>
      <c r="I62">
        <f t="shared" si="6"/>
        <v>34</v>
      </c>
      <c r="J62" s="26">
        <f t="shared" si="7"/>
        <v>0.13616272677295216</v>
      </c>
      <c r="K62" s="25">
        <f t="shared" si="8"/>
        <v>5.0217921935129191</v>
      </c>
      <c r="L62" s="27">
        <f t="shared" si="3"/>
        <v>0.27898845519516219</v>
      </c>
      <c r="Q62" s="30">
        <v>0.32000000000000012</v>
      </c>
      <c r="R62" s="31">
        <f t="shared" si="9"/>
        <v>0.77411764705882347</v>
      </c>
      <c r="S62" s="31">
        <f t="shared" si="10"/>
        <v>0.80285714285714294</v>
      </c>
    </row>
    <row r="63" spans="2:19" x14ac:dyDescent="0.35">
      <c r="B63" s="4"/>
      <c r="D63" s="26"/>
      <c r="E63" s="26"/>
      <c r="F63" s="29"/>
      <c r="H63" s="4">
        <f t="shared" si="0"/>
        <v>1</v>
      </c>
      <c r="I63">
        <f t="shared" si="6"/>
        <v>35</v>
      </c>
      <c r="J63" s="26">
        <f t="shared" si="7"/>
        <v>0.13497526113249037</v>
      </c>
      <c r="K63" s="25">
        <f t="shared" si="8"/>
        <v>5.1579549202858708</v>
      </c>
      <c r="L63" s="27">
        <f t="shared" si="3"/>
        <v>0.28655305112699281</v>
      </c>
      <c r="Q63" s="30">
        <v>0.33000000000000013</v>
      </c>
      <c r="R63" s="31">
        <f t="shared" si="9"/>
        <v>0.76705882352941168</v>
      </c>
      <c r="S63" s="31">
        <f t="shared" si="10"/>
        <v>0.8114285714285715</v>
      </c>
    </row>
    <row r="64" spans="2:19" x14ac:dyDescent="0.35">
      <c r="B64" s="4"/>
      <c r="D64" s="26"/>
      <c r="E64" s="26"/>
      <c r="F64" s="29"/>
      <c r="H64" s="4">
        <f t="shared" si="0"/>
        <v>1</v>
      </c>
      <c r="I64">
        <f t="shared" si="6"/>
        <v>36</v>
      </c>
      <c r="J64" s="26">
        <f t="shared" si="7"/>
        <v>0.13378779549202857</v>
      </c>
      <c r="K64" s="25">
        <f t="shared" si="8"/>
        <v>5.2929301814183614</v>
      </c>
      <c r="L64" s="27">
        <f t="shared" si="3"/>
        <v>0.29405167674546451</v>
      </c>
      <c r="Q64" s="30">
        <v>0.34000000000000014</v>
      </c>
      <c r="R64" s="31">
        <f t="shared" si="9"/>
        <v>0.7599999999999999</v>
      </c>
      <c r="S64" s="31">
        <f t="shared" si="10"/>
        <v>0.82000000000000006</v>
      </c>
    </row>
    <row r="65" spans="2:19" x14ac:dyDescent="0.35">
      <c r="B65" s="4"/>
      <c r="D65" s="26"/>
      <c r="E65" s="26"/>
      <c r="F65" s="29"/>
      <c r="H65" s="4">
        <f t="shared" si="0"/>
        <v>1</v>
      </c>
      <c r="I65">
        <f t="shared" si="6"/>
        <v>37</v>
      </c>
      <c r="J65" s="26">
        <f t="shared" si="7"/>
        <v>0.13260032985156678</v>
      </c>
      <c r="K65" s="25">
        <f t="shared" si="8"/>
        <v>5.4267179769103899</v>
      </c>
      <c r="L65" s="27">
        <f t="shared" si="3"/>
        <v>0.30148433205057723</v>
      </c>
      <c r="Q65" s="30">
        <v>0.35000000000000014</v>
      </c>
      <c r="R65" s="31">
        <f t="shared" si="9"/>
        <v>0.75294117647058811</v>
      </c>
      <c r="S65" s="31">
        <f t="shared" si="10"/>
        <v>0.82857142857142863</v>
      </c>
    </row>
    <row r="66" spans="2:19" x14ac:dyDescent="0.35">
      <c r="B66" s="4"/>
      <c r="D66" s="26"/>
      <c r="E66" s="26"/>
      <c r="F66" s="29"/>
      <c r="H66" s="4">
        <f t="shared" si="0"/>
        <v>1</v>
      </c>
      <c r="I66">
        <f t="shared" si="6"/>
        <v>38</v>
      </c>
      <c r="J66" s="26">
        <f t="shared" si="7"/>
        <v>0.13260032985156678</v>
      </c>
      <c r="K66" s="25">
        <f t="shared" si="8"/>
        <v>5.5593183067619565</v>
      </c>
      <c r="L66" s="27">
        <f t="shared" si="3"/>
        <v>0.30885101704233092</v>
      </c>
      <c r="Q66" s="30">
        <v>0.36000000000000015</v>
      </c>
      <c r="R66" s="31">
        <f t="shared" si="9"/>
        <v>0.74588235294117644</v>
      </c>
      <c r="S66" s="31">
        <f t="shared" si="10"/>
        <v>0.83714285714285719</v>
      </c>
    </row>
    <row r="67" spans="2:19" x14ac:dyDescent="0.35">
      <c r="B67" s="4"/>
      <c r="D67" s="26"/>
      <c r="E67" s="26"/>
      <c r="F67" s="29"/>
      <c r="H67" s="4">
        <f t="shared" si="0"/>
        <v>1</v>
      </c>
      <c r="I67">
        <f t="shared" si="6"/>
        <v>39</v>
      </c>
      <c r="J67" s="26">
        <f t="shared" si="7"/>
        <v>0.13141286421110498</v>
      </c>
      <c r="K67" s="25">
        <f t="shared" si="8"/>
        <v>5.691918636613523</v>
      </c>
      <c r="L67" s="27">
        <f t="shared" si="3"/>
        <v>0.31621770203408461</v>
      </c>
      <c r="Q67" s="30">
        <v>0.37000000000000016</v>
      </c>
      <c r="R67" s="31">
        <f t="shared" si="9"/>
        <v>0.73882352941176466</v>
      </c>
      <c r="S67" s="31">
        <f t="shared" si="10"/>
        <v>0.84571428571428586</v>
      </c>
    </row>
    <row r="68" spans="2:19" x14ac:dyDescent="0.35">
      <c r="B68" s="4"/>
      <c r="D68" s="26"/>
      <c r="E68" s="26"/>
      <c r="F68" s="29"/>
      <c r="H68" s="4">
        <f t="shared" si="0"/>
        <v>1</v>
      </c>
      <c r="I68">
        <f t="shared" si="6"/>
        <v>40</v>
      </c>
      <c r="J68" s="26">
        <f t="shared" si="7"/>
        <v>0.13022539857064319</v>
      </c>
      <c r="K68" s="25">
        <f t="shared" si="8"/>
        <v>5.8233315008246276</v>
      </c>
      <c r="L68" s="27">
        <f t="shared" si="3"/>
        <v>0.32351841671247933</v>
      </c>
      <c r="Q68" s="30">
        <v>0.38000000000000017</v>
      </c>
      <c r="R68" s="31">
        <f t="shared" si="9"/>
        <v>0.73176470588235287</v>
      </c>
      <c r="S68" s="31">
        <f t="shared" si="10"/>
        <v>0.85428571428571443</v>
      </c>
    </row>
    <row r="69" spans="2:19" x14ac:dyDescent="0.35">
      <c r="B69" s="4"/>
      <c r="D69" s="26"/>
      <c r="E69" s="26"/>
      <c r="F69" s="29"/>
      <c r="H69" s="4">
        <f t="shared" si="0"/>
        <v>1</v>
      </c>
      <c r="I69">
        <f t="shared" si="6"/>
        <v>41</v>
      </c>
      <c r="J69" s="26">
        <f t="shared" si="7"/>
        <v>0.1290379329301814</v>
      </c>
      <c r="K69" s="25">
        <f t="shared" si="8"/>
        <v>5.953556899395271</v>
      </c>
      <c r="L69" s="27">
        <f t="shared" si="3"/>
        <v>0.33075316107751507</v>
      </c>
      <c r="Q69" s="30">
        <v>0.39000000000000018</v>
      </c>
      <c r="R69" s="31">
        <f t="shared" si="9"/>
        <v>0.72470588235294109</v>
      </c>
      <c r="S69" s="31">
        <f t="shared" si="10"/>
        <v>0.86285714285714299</v>
      </c>
    </row>
    <row r="70" spans="2:19" x14ac:dyDescent="0.35">
      <c r="B70" s="4"/>
      <c r="D70" s="26"/>
      <c r="E70" s="26"/>
      <c r="F70" s="29"/>
      <c r="H70" s="4">
        <f t="shared" si="0"/>
        <v>1</v>
      </c>
      <c r="I70">
        <f t="shared" si="6"/>
        <v>42</v>
      </c>
      <c r="J70" s="26">
        <f t="shared" si="7"/>
        <v>0.1290379329301814</v>
      </c>
      <c r="K70" s="25">
        <f t="shared" si="8"/>
        <v>6.0825948323254524</v>
      </c>
      <c r="L70" s="27">
        <f t="shared" si="3"/>
        <v>0.33792193512919178</v>
      </c>
      <c r="Q70" s="30">
        <v>0.40000000000000019</v>
      </c>
      <c r="R70" s="31">
        <f t="shared" si="9"/>
        <v>0.7176470588235293</v>
      </c>
      <c r="S70" s="31">
        <f t="shared" si="10"/>
        <v>0.87142857142857155</v>
      </c>
    </row>
    <row r="71" spans="2:19" x14ac:dyDescent="0.35">
      <c r="B71" s="4"/>
      <c r="D71" s="26"/>
      <c r="E71" s="26"/>
      <c r="F71" s="29"/>
      <c r="H71" s="4">
        <f t="shared" si="0"/>
        <v>1</v>
      </c>
      <c r="I71">
        <f t="shared" si="6"/>
        <v>43</v>
      </c>
      <c r="J71" s="26">
        <f t="shared" si="7"/>
        <v>0.1278504672897196</v>
      </c>
      <c r="K71" s="25">
        <f t="shared" si="8"/>
        <v>6.2116327652556338</v>
      </c>
      <c r="L71" s="27">
        <f t="shared" si="3"/>
        <v>0.34509070918086854</v>
      </c>
      <c r="Q71" s="30">
        <v>0.4100000000000002</v>
      </c>
      <c r="R71" s="31">
        <f t="shared" si="9"/>
        <v>0.71058823529411752</v>
      </c>
      <c r="S71" s="31">
        <f t="shared" si="10"/>
        <v>0.88000000000000012</v>
      </c>
    </row>
    <row r="72" spans="2:19" x14ac:dyDescent="0.35">
      <c r="B72" s="4"/>
      <c r="D72" s="26"/>
      <c r="E72" s="26"/>
      <c r="F72" s="29"/>
      <c r="H72" s="4">
        <f t="shared" si="0"/>
        <v>1</v>
      </c>
      <c r="I72">
        <f t="shared" si="6"/>
        <v>44</v>
      </c>
      <c r="J72" s="26">
        <f t="shared" si="7"/>
        <v>0.12666300164925781</v>
      </c>
      <c r="K72" s="25">
        <f t="shared" si="8"/>
        <v>6.3394832325453532</v>
      </c>
      <c r="L72" s="27">
        <f t="shared" si="3"/>
        <v>0.35219351291918627</v>
      </c>
      <c r="Q72" s="30">
        <v>0.42000000000000021</v>
      </c>
      <c r="R72" s="31">
        <f t="shared" si="9"/>
        <v>0.70352941176470574</v>
      </c>
      <c r="S72" s="31">
        <f t="shared" si="10"/>
        <v>0.88857142857142868</v>
      </c>
    </row>
    <row r="73" spans="2:19" x14ac:dyDescent="0.35">
      <c r="B73" s="4"/>
      <c r="D73" s="26"/>
      <c r="E73" s="26"/>
      <c r="F73" s="29"/>
      <c r="H73" s="4">
        <f t="shared" si="0"/>
        <v>1</v>
      </c>
      <c r="I73">
        <f t="shared" si="6"/>
        <v>45</v>
      </c>
      <c r="J73" s="26">
        <f t="shared" si="7"/>
        <v>0.12666300164925781</v>
      </c>
      <c r="K73" s="25">
        <f t="shared" si="8"/>
        <v>6.4661462341946105</v>
      </c>
      <c r="L73" s="27">
        <f t="shared" si="3"/>
        <v>0.35923034634414502</v>
      </c>
      <c r="Q73" s="30">
        <v>0.43000000000000022</v>
      </c>
      <c r="R73" s="31">
        <f t="shared" si="9"/>
        <v>0.69647058823529395</v>
      </c>
      <c r="S73" s="31">
        <f t="shared" si="10"/>
        <v>0.89714285714285724</v>
      </c>
    </row>
    <row r="74" spans="2:19" x14ac:dyDescent="0.35">
      <c r="B74" s="4"/>
      <c r="D74" s="26"/>
      <c r="E74" s="26"/>
      <c r="F74" s="29"/>
      <c r="H74" s="4">
        <f t="shared" si="0"/>
        <v>1</v>
      </c>
      <c r="I74">
        <f t="shared" si="6"/>
        <v>46</v>
      </c>
      <c r="J74" s="26">
        <f t="shared" si="7"/>
        <v>0.12547553600879602</v>
      </c>
      <c r="K74" s="25">
        <f t="shared" si="8"/>
        <v>6.5928092358438679</v>
      </c>
      <c r="L74" s="27">
        <f t="shared" si="3"/>
        <v>0.36626717976910378</v>
      </c>
      <c r="Q74" s="30">
        <v>0.44000000000000022</v>
      </c>
      <c r="R74" s="31">
        <f t="shared" si="9"/>
        <v>0.68941176470588217</v>
      </c>
      <c r="S74" s="31">
        <f t="shared" si="10"/>
        <v>0.90571428571428592</v>
      </c>
    </row>
    <row r="75" spans="2:19" x14ac:dyDescent="0.35">
      <c r="B75" s="4"/>
      <c r="D75" s="26"/>
      <c r="E75" s="26"/>
      <c r="F75" s="29"/>
      <c r="H75" s="4">
        <f t="shared" si="0"/>
        <v>1</v>
      </c>
      <c r="I75">
        <f t="shared" si="6"/>
        <v>47</v>
      </c>
      <c r="J75" s="26">
        <f t="shared" si="7"/>
        <v>0.12428807036833424</v>
      </c>
      <c r="K75" s="25">
        <f t="shared" si="8"/>
        <v>6.7182847718526642</v>
      </c>
      <c r="L75" s="27">
        <f t="shared" si="3"/>
        <v>0.37323804288070356</v>
      </c>
      <c r="Q75" s="30">
        <v>0.45000000000000023</v>
      </c>
      <c r="R75" s="31">
        <f t="shared" si="9"/>
        <v>0.68235294117647038</v>
      </c>
      <c r="S75" s="31">
        <f t="shared" si="10"/>
        <v>0.91428571428571448</v>
      </c>
    </row>
    <row r="76" spans="2:19" x14ac:dyDescent="0.35">
      <c r="B76" s="4"/>
      <c r="D76" s="26"/>
      <c r="E76" s="26"/>
      <c r="F76" s="29"/>
      <c r="H76" s="4">
        <f t="shared" si="0"/>
        <v>1</v>
      </c>
      <c r="I76">
        <f t="shared" si="6"/>
        <v>48</v>
      </c>
      <c r="J76" s="26">
        <f t="shared" si="7"/>
        <v>0.12310060472787245</v>
      </c>
      <c r="K76" s="25">
        <f t="shared" si="8"/>
        <v>6.8425728422209984</v>
      </c>
      <c r="L76" s="27">
        <f t="shared" si="3"/>
        <v>0.38014293567894436</v>
      </c>
      <c r="Q76" s="30">
        <v>0.46000000000000024</v>
      </c>
      <c r="R76" s="31">
        <f t="shared" si="9"/>
        <v>0.6752941176470586</v>
      </c>
      <c r="S76" s="31">
        <f t="shared" si="10"/>
        <v>0.92285714285714304</v>
      </c>
    </row>
    <row r="77" spans="2:19" x14ac:dyDescent="0.35">
      <c r="B77" s="4"/>
      <c r="D77" s="26"/>
      <c r="E77" s="26"/>
      <c r="F77" s="29"/>
      <c r="H77" s="4">
        <f t="shared" si="0"/>
        <v>1</v>
      </c>
      <c r="I77">
        <f t="shared" si="6"/>
        <v>49</v>
      </c>
      <c r="J77" s="26">
        <f t="shared" si="7"/>
        <v>0.12310060472787245</v>
      </c>
      <c r="K77" s="25">
        <f t="shared" si="8"/>
        <v>6.9656734469488706</v>
      </c>
      <c r="L77" s="27">
        <f t="shared" si="3"/>
        <v>0.38698185816382613</v>
      </c>
      <c r="Q77" s="30">
        <v>0.47000000000000025</v>
      </c>
      <c r="R77" s="31">
        <f t="shared" si="9"/>
        <v>0.66823529411764682</v>
      </c>
      <c r="S77" s="31">
        <f t="shared" si="10"/>
        <v>0.93142857142857161</v>
      </c>
    </row>
    <row r="78" spans="2:19" x14ac:dyDescent="0.35">
      <c r="B78" s="4"/>
      <c r="D78" s="26"/>
      <c r="E78" s="26"/>
      <c r="F78" s="29"/>
      <c r="H78" s="4">
        <f t="shared" si="0"/>
        <v>1</v>
      </c>
      <c r="I78">
        <f t="shared" si="6"/>
        <v>50</v>
      </c>
      <c r="J78" s="26">
        <f t="shared" si="7"/>
        <v>0.12191313908741064</v>
      </c>
      <c r="K78" s="25">
        <f t="shared" si="8"/>
        <v>7.0887740516767428</v>
      </c>
      <c r="L78" s="27">
        <f t="shared" si="3"/>
        <v>0.39382078064870796</v>
      </c>
      <c r="Q78" s="30">
        <v>0.48000000000000026</v>
      </c>
      <c r="R78" s="31">
        <f t="shared" si="9"/>
        <v>0.66117647058823503</v>
      </c>
      <c r="S78" s="31">
        <f t="shared" si="10"/>
        <v>0.94000000000000017</v>
      </c>
    </row>
    <row r="79" spans="2:19" x14ac:dyDescent="0.35">
      <c r="B79" s="4"/>
      <c r="D79" s="26"/>
      <c r="E79" s="26"/>
      <c r="F79" s="29"/>
      <c r="H79" s="4">
        <f t="shared" si="0"/>
        <v>1</v>
      </c>
      <c r="I79">
        <f t="shared" si="6"/>
        <v>51</v>
      </c>
      <c r="J79" s="26">
        <f t="shared" si="7"/>
        <v>0.12072567344694884</v>
      </c>
      <c r="K79" s="25">
        <f t="shared" si="8"/>
        <v>7.210687190764153</v>
      </c>
      <c r="L79" s="27">
        <f t="shared" si="3"/>
        <v>0.4005937328202307</v>
      </c>
      <c r="Q79" s="30">
        <v>0.49000000000000027</v>
      </c>
      <c r="R79" s="31">
        <f t="shared" si="9"/>
        <v>0.65411764705882336</v>
      </c>
      <c r="S79" s="31">
        <f t="shared" si="10"/>
        <v>0.94857142857142873</v>
      </c>
    </row>
    <row r="80" spans="2:19" x14ac:dyDescent="0.35">
      <c r="B80" s="4"/>
      <c r="D80" s="26"/>
      <c r="E80" s="26"/>
      <c r="F80" s="29"/>
      <c r="H80" s="4">
        <f t="shared" si="0"/>
        <v>1</v>
      </c>
      <c r="I80">
        <f t="shared" si="6"/>
        <v>52</v>
      </c>
      <c r="J80" s="26">
        <f t="shared" si="7"/>
        <v>0.12072567344694884</v>
      </c>
      <c r="K80" s="25">
        <f t="shared" si="8"/>
        <v>7.3314128642111021</v>
      </c>
      <c r="L80" s="27">
        <f t="shared" si="3"/>
        <v>0.40730071467839457</v>
      </c>
      <c r="Q80" s="30">
        <v>0.50000000000000022</v>
      </c>
      <c r="R80" s="31">
        <f t="shared" si="9"/>
        <v>0.64705882352941169</v>
      </c>
      <c r="S80" s="31">
        <f t="shared" si="10"/>
        <v>0.9571428571428573</v>
      </c>
    </row>
    <row r="81" spans="2:19" x14ac:dyDescent="0.35">
      <c r="B81" s="4"/>
      <c r="D81" s="26"/>
      <c r="E81" s="26"/>
      <c r="F81" s="29"/>
      <c r="H81" s="4">
        <f t="shared" si="0"/>
        <v>1</v>
      </c>
      <c r="I81">
        <f t="shared" si="6"/>
        <v>53</v>
      </c>
      <c r="J81" s="26">
        <f t="shared" si="7"/>
        <v>0.11953820780648705</v>
      </c>
      <c r="K81" s="25">
        <f t="shared" si="8"/>
        <v>7.4521385376580511</v>
      </c>
      <c r="L81" s="27">
        <f t="shared" si="3"/>
        <v>0.41400769653655839</v>
      </c>
      <c r="Q81" s="30">
        <v>0.51000000000000023</v>
      </c>
      <c r="R81" s="31">
        <f t="shared" si="9"/>
        <v>0.6399999999999999</v>
      </c>
      <c r="S81" s="31">
        <f t="shared" si="10"/>
        <v>0.96571428571428586</v>
      </c>
    </row>
    <row r="82" spans="2:19" x14ac:dyDescent="0.35">
      <c r="B82" s="4"/>
      <c r="D82" s="26"/>
      <c r="E82" s="26"/>
      <c r="F82" s="29"/>
      <c r="H82" s="4">
        <f t="shared" si="0"/>
        <v>1</v>
      </c>
      <c r="I82">
        <f t="shared" si="6"/>
        <v>54</v>
      </c>
      <c r="J82" s="26">
        <f t="shared" si="7"/>
        <v>0.11835074216602526</v>
      </c>
      <c r="K82" s="25">
        <f t="shared" si="8"/>
        <v>7.5716767454645382</v>
      </c>
      <c r="L82" s="27">
        <f t="shared" si="3"/>
        <v>0.42064870808136323</v>
      </c>
      <c r="Q82" s="30">
        <v>0.52000000000000024</v>
      </c>
      <c r="R82" s="31">
        <f t="shared" si="9"/>
        <v>0.63294117647058812</v>
      </c>
      <c r="S82" s="31">
        <f t="shared" si="10"/>
        <v>0.97428571428571442</v>
      </c>
    </row>
    <row r="83" spans="2:19" x14ac:dyDescent="0.35">
      <c r="B83" s="4"/>
      <c r="D83" s="26"/>
      <c r="E83" s="26"/>
      <c r="F83" s="29"/>
      <c r="H83" s="4">
        <f t="shared" si="0"/>
        <v>1</v>
      </c>
      <c r="I83">
        <f t="shared" si="6"/>
        <v>55</v>
      </c>
      <c r="J83" s="26">
        <f t="shared" si="7"/>
        <v>0.11835074216602526</v>
      </c>
      <c r="K83" s="25">
        <f t="shared" si="8"/>
        <v>7.6900274876305632</v>
      </c>
      <c r="L83" s="27">
        <f t="shared" si="3"/>
        <v>0.42722374931280904</v>
      </c>
      <c r="Q83" s="30">
        <v>0.53000000000000025</v>
      </c>
      <c r="R83" s="31">
        <f t="shared" si="9"/>
        <v>0.62588235294117633</v>
      </c>
      <c r="S83" s="31">
        <f t="shared" si="10"/>
        <v>0.9828571428571431</v>
      </c>
    </row>
    <row r="84" spans="2:19" x14ac:dyDescent="0.35">
      <c r="B84" s="4"/>
      <c r="D84" s="26"/>
      <c r="E84" s="26"/>
      <c r="F84" s="29"/>
      <c r="H84" s="4">
        <f t="shared" si="0"/>
        <v>1</v>
      </c>
      <c r="I84">
        <f t="shared" si="6"/>
        <v>56</v>
      </c>
      <c r="J84" s="26">
        <f t="shared" si="7"/>
        <v>0.11716327652556346</v>
      </c>
      <c r="K84" s="25">
        <f t="shared" si="8"/>
        <v>7.8083782297965882</v>
      </c>
      <c r="L84" s="27">
        <f t="shared" si="3"/>
        <v>0.43379879054425491</v>
      </c>
      <c r="Q84" s="30">
        <v>0.54000000000000026</v>
      </c>
      <c r="R84" s="31">
        <f t="shared" si="9"/>
        <v>0.61882352941176455</v>
      </c>
      <c r="S84" s="31">
        <f t="shared" si="10"/>
        <v>0.99142857142857155</v>
      </c>
    </row>
    <row r="85" spans="2:19" x14ac:dyDescent="0.35">
      <c r="B85" s="4"/>
      <c r="D85" s="26"/>
      <c r="E85" s="26"/>
      <c r="F85" s="29"/>
      <c r="H85" s="4">
        <f t="shared" si="0"/>
        <v>1</v>
      </c>
      <c r="I85">
        <f t="shared" si="6"/>
        <v>57</v>
      </c>
      <c r="J85" s="26">
        <f t="shared" si="7"/>
        <v>0.11597581088510167</v>
      </c>
      <c r="K85" s="25">
        <f t="shared" si="8"/>
        <v>7.9255415063221513</v>
      </c>
      <c r="L85" s="27">
        <f t="shared" si="3"/>
        <v>0.44030786146234174</v>
      </c>
      <c r="Q85" s="30">
        <v>0.55000000000000027</v>
      </c>
      <c r="R85" s="31">
        <f t="shared" si="9"/>
        <v>0.61176470588235277</v>
      </c>
      <c r="S85" s="31">
        <f t="shared" si="10"/>
        <v>1</v>
      </c>
    </row>
    <row r="86" spans="2:19" x14ac:dyDescent="0.35">
      <c r="B86" s="4"/>
      <c r="D86" s="26"/>
      <c r="E86" s="26"/>
      <c r="F86" s="29"/>
      <c r="H86" s="4">
        <f t="shared" si="0"/>
        <v>1</v>
      </c>
      <c r="I86">
        <f t="shared" si="6"/>
        <v>58</v>
      </c>
      <c r="J86" s="26">
        <f t="shared" si="7"/>
        <v>0.11597581088510167</v>
      </c>
      <c r="K86" s="25">
        <f t="shared" si="8"/>
        <v>8.0415173172072532</v>
      </c>
      <c r="L86" s="27">
        <f t="shared" si="3"/>
        <v>0.4467509620670696</v>
      </c>
      <c r="Q86" s="30">
        <v>0.56000000000000028</v>
      </c>
      <c r="R86" s="31">
        <f t="shared" si="9"/>
        <v>0.60470588235294098</v>
      </c>
      <c r="S86" s="31">
        <f t="shared" si="10"/>
        <v>1</v>
      </c>
    </row>
    <row r="87" spans="2:19" x14ac:dyDescent="0.35">
      <c r="B87" s="4"/>
      <c r="D87" s="26"/>
      <c r="E87" s="26"/>
      <c r="F87" s="29"/>
      <c r="H87" s="4">
        <f t="shared" si="0"/>
        <v>1</v>
      </c>
      <c r="I87">
        <f t="shared" si="6"/>
        <v>59</v>
      </c>
      <c r="J87" s="26">
        <f t="shared" si="7"/>
        <v>0.11478834524463988</v>
      </c>
      <c r="K87" s="25">
        <f t="shared" si="8"/>
        <v>8.1574931280923551</v>
      </c>
      <c r="L87" s="27">
        <f t="shared" si="3"/>
        <v>0.45319406267179752</v>
      </c>
      <c r="Q87" s="30">
        <v>0.57000000000000028</v>
      </c>
      <c r="R87" s="31">
        <f t="shared" si="9"/>
        <v>0.5976470588235292</v>
      </c>
      <c r="S87" s="31">
        <f t="shared" si="10"/>
        <v>1</v>
      </c>
    </row>
    <row r="88" spans="2:19" x14ac:dyDescent="0.35">
      <c r="B88" s="4"/>
      <c r="D88" s="26"/>
      <c r="E88" s="26"/>
      <c r="F88" s="29"/>
      <c r="H88" s="4">
        <f t="shared" si="0"/>
        <v>1</v>
      </c>
      <c r="I88">
        <f t="shared" si="6"/>
        <v>60</v>
      </c>
      <c r="J88" s="26">
        <f t="shared" si="7"/>
        <v>0.11478834524463988</v>
      </c>
      <c r="K88" s="25">
        <f t="shared" si="8"/>
        <v>8.2722814733369958</v>
      </c>
      <c r="L88" s="27">
        <f t="shared" si="3"/>
        <v>0.45957119296316645</v>
      </c>
      <c r="Q88" s="30">
        <v>0.58000000000000029</v>
      </c>
      <c r="R88" s="31">
        <f t="shared" si="9"/>
        <v>0.59058823529411741</v>
      </c>
      <c r="S88" s="31">
        <f t="shared" si="10"/>
        <v>1</v>
      </c>
    </row>
    <row r="89" spans="2:19" x14ac:dyDescent="0.35">
      <c r="B89" s="4"/>
      <c r="D89" s="26"/>
      <c r="E89" s="26"/>
      <c r="F89" s="29"/>
      <c r="H89" s="4">
        <f t="shared" si="0"/>
        <v>1</v>
      </c>
      <c r="I89">
        <f t="shared" si="6"/>
        <v>61</v>
      </c>
      <c r="J89" s="26">
        <f t="shared" si="7"/>
        <v>0.11360087960417807</v>
      </c>
      <c r="K89" s="25">
        <f t="shared" si="8"/>
        <v>8.3870698185816366</v>
      </c>
      <c r="L89" s="27">
        <f t="shared" si="3"/>
        <v>0.46594832325453539</v>
      </c>
      <c r="Q89" s="30">
        <v>0.5900000000000003</v>
      </c>
      <c r="R89" s="31">
        <f t="shared" si="9"/>
        <v>0.58352941176470563</v>
      </c>
      <c r="S89" s="31">
        <f t="shared" si="10"/>
        <v>1</v>
      </c>
    </row>
    <row r="90" spans="2:19" x14ac:dyDescent="0.35">
      <c r="B90" s="4"/>
      <c r="D90" s="26"/>
      <c r="E90" s="26"/>
      <c r="F90" s="29"/>
      <c r="H90" s="4">
        <f t="shared" si="0"/>
        <v>1</v>
      </c>
      <c r="I90">
        <f t="shared" si="6"/>
        <v>62</v>
      </c>
      <c r="J90" s="26">
        <f t="shared" si="7"/>
        <v>0.11241341396371628</v>
      </c>
      <c r="K90" s="25">
        <f t="shared" si="8"/>
        <v>8.5006706981858144</v>
      </c>
      <c r="L90" s="27">
        <f t="shared" si="3"/>
        <v>0.47225948323254524</v>
      </c>
      <c r="Q90" s="30">
        <v>0.60000000000000031</v>
      </c>
      <c r="R90" s="31">
        <f t="shared" si="9"/>
        <v>0.57647058823529385</v>
      </c>
      <c r="S90" s="31">
        <f t="shared" si="10"/>
        <v>1</v>
      </c>
    </row>
    <row r="91" spans="2:19" x14ac:dyDescent="0.35">
      <c r="B91" s="4"/>
      <c r="D91" s="26"/>
      <c r="E91" s="26"/>
      <c r="F91" s="29"/>
      <c r="H91" s="4">
        <f t="shared" si="0"/>
        <v>1</v>
      </c>
      <c r="I91">
        <f t="shared" si="6"/>
        <v>63</v>
      </c>
      <c r="J91" s="26">
        <f t="shared" si="7"/>
        <v>0.11241341396371628</v>
      </c>
      <c r="K91" s="25">
        <f t="shared" si="8"/>
        <v>8.6130841121495312</v>
      </c>
      <c r="L91" s="27">
        <f t="shared" si="3"/>
        <v>0.47850467289719617</v>
      </c>
      <c r="Q91" s="30">
        <v>0.61000000000000032</v>
      </c>
      <c r="R91" s="31">
        <f t="shared" si="9"/>
        <v>0.56941176470588206</v>
      </c>
      <c r="S91" s="31">
        <f t="shared" si="10"/>
        <v>1</v>
      </c>
    </row>
    <row r="92" spans="2:19" x14ac:dyDescent="0.35">
      <c r="B92" s="4"/>
      <c r="D92" s="26"/>
      <c r="E92" s="26"/>
      <c r="F92" s="29"/>
      <c r="H92" s="4">
        <f t="shared" si="0"/>
        <v>1</v>
      </c>
      <c r="I92">
        <f t="shared" si="6"/>
        <v>64</v>
      </c>
      <c r="J92" s="26">
        <f t="shared" si="7"/>
        <v>0.11122594832325448</v>
      </c>
      <c r="K92" s="25">
        <f t="shared" si="8"/>
        <v>8.7254975261132479</v>
      </c>
      <c r="L92" s="27">
        <f t="shared" si="3"/>
        <v>0.4847498625618471</v>
      </c>
      <c r="Q92" s="30">
        <v>0.62000000000000033</v>
      </c>
      <c r="R92" s="31">
        <f t="shared" si="9"/>
        <v>0.56235294117647028</v>
      </c>
      <c r="S92" s="31">
        <f t="shared" si="10"/>
        <v>1</v>
      </c>
    </row>
    <row r="93" spans="2:19" x14ac:dyDescent="0.35">
      <c r="B93" s="4"/>
      <c r="D93" s="26"/>
      <c r="E93" s="26"/>
      <c r="F93" s="29"/>
      <c r="H93" s="4">
        <f t="shared" ref="H93:H153" si="11">IF(L93&lt;1,1,0)</f>
        <v>1</v>
      </c>
      <c r="I93">
        <f t="shared" si="6"/>
        <v>65</v>
      </c>
      <c r="J93" s="26">
        <f t="shared" si="7"/>
        <v>0.1100384826827927</v>
      </c>
      <c r="K93" s="25">
        <f t="shared" si="8"/>
        <v>8.8367234744365017</v>
      </c>
      <c r="L93" s="27">
        <f t="shared" si="3"/>
        <v>0.490929081913139</v>
      </c>
      <c r="Q93" s="30">
        <v>0.63000000000000034</v>
      </c>
      <c r="R93" s="31">
        <f t="shared" si="9"/>
        <v>0.5552941176470586</v>
      </c>
      <c r="S93" s="31">
        <f t="shared" si="10"/>
        <v>1</v>
      </c>
    </row>
    <row r="94" spans="2:19" x14ac:dyDescent="0.35">
      <c r="B94" s="4"/>
      <c r="D94" s="26"/>
      <c r="E94" s="26"/>
      <c r="F94" s="29"/>
      <c r="H94" s="4">
        <f t="shared" si="11"/>
        <v>1</v>
      </c>
      <c r="I94">
        <f t="shared" si="6"/>
        <v>66</v>
      </c>
      <c r="J94" s="26">
        <f t="shared" si="7"/>
        <v>0.1100384826827927</v>
      </c>
      <c r="K94" s="25">
        <f t="shared" si="8"/>
        <v>8.9467619571192945</v>
      </c>
      <c r="L94" s="27">
        <f t="shared" ref="L94:L157" si="12">+K94/$D$4</f>
        <v>0.49704233095107192</v>
      </c>
      <c r="Q94" s="30">
        <v>0.64000000000000035</v>
      </c>
      <c r="R94" s="31">
        <f t="shared" si="9"/>
        <v>0.54823529411764682</v>
      </c>
      <c r="S94" s="31">
        <f t="shared" si="10"/>
        <v>1</v>
      </c>
    </row>
    <row r="95" spans="2:19" x14ac:dyDescent="0.35">
      <c r="B95" s="4"/>
      <c r="D95" s="26"/>
      <c r="E95" s="26"/>
      <c r="F95" s="29"/>
      <c r="H95" s="4">
        <f t="shared" si="11"/>
        <v>1</v>
      </c>
      <c r="I95">
        <f t="shared" ref="I95:I158" si="13">+IF(H95,I94+1,0)</f>
        <v>67</v>
      </c>
      <c r="J95" s="26">
        <f t="shared" ref="J95:J158" si="14">+$D$5*VLOOKUP(L95,$Q$30:$S$130,2,1)</f>
        <v>0.10885101704233094</v>
      </c>
      <c r="K95" s="25">
        <f t="shared" ref="K95:K158" si="15">+K94+J94</f>
        <v>9.0568004398020872</v>
      </c>
      <c r="L95" s="27">
        <f t="shared" si="12"/>
        <v>0.50315557998900484</v>
      </c>
      <c r="Q95" s="30">
        <v>0.65000000000000036</v>
      </c>
      <c r="R95" s="31">
        <f t="shared" ref="R95:R130" si="16">Cherche_debit_max($H$20:$I$24,Q95)</f>
        <v>0.54117647058823504</v>
      </c>
      <c r="S95" s="31">
        <f t="shared" ref="S95:S130" si="17">Cherche_debit_max($K$20:$L$24,Q95)</f>
        <v>1</v>
      </c>
    </row>
    <row r="96" spans="2:19" x14ac:dyDescent="0.35">
      <c r="B96" s="4"/>
      <c r="D96" s="26"/>
      <c r="E96" s="26"/>
      <c r="F96" s="29"/>
      <c r="H96" s="4">
        <f t="shared" si="11"/>
        <v>1</v>
      </c>
      <c r="I96">
        <f t="shared" si="13"/>
        <v>68</v>
      </c>
      <c r="J96" s="26">
        <f t="shared" si="14"/>
        <v>0.10885101704233094</v>
      </c>
      <c r="K96" s="25">
        <f t="shared" si="15"/>
        <v>9.1656514568444187</v>
      </c>
      <c r="L96" s="27">
        <f t="shared" si="12"/>
        <v>0.50920285871357884</v>
      </c>
      <c r="Q96" s="30">
        <v>0.66000000000000036</v>
      </c>
      <c r="R96" s="31">
        <f t="shared" si="16"/>
        <v>0.53411764705882325</v>
      </c>
      <c r="S96" s="31">
        <f t="shared" si="17"/>
        <v>1</v>
      </c>
    </row>
    <row r="97" spans="2:19" x14ac:dyDescent="0.35">
      <c r="B97" s="4"/>
      <c r="D97" s="26"/>
      <c r="E97" s="26"/>
      <c r="F97" s="29"/>
      <c r="H97" s="4">
        <f t="shared" si="11"/>
        <v>1</v>
      </c>
      <c r="I97">
        <f t="shared" si="13"/>
        <v>69</v>
      </c>
      <c r="J97" s="26">
        <f t="shared" si="14"/>
        <v>0.10766355140186913</v>
      </c>
      <c r="K97" s="25">
        <f t="shared" si="15"/>
        <v>9.2745024738867503</v>
      </c>
      <c r="L97" s="27">
        <f t="shared" si="12"/>
        <v>0.51525013743815284</v>
      </c>
      <c r="Q97" s="30">
        <v>0.67000000000000037</v>
      </c>
      <c r="R97" s="31">
        <f t="shared" si="16"/>
        <v>0.52705882352941158</v>
      </c>
      <c r="S97" s="31">
        <f t="shared" si="17"/>
        <v>1</v>
      </c>
    </row>
    <row r="98" spans="2:19" x14ac:dyDescent="0.35">
      <c r="B98" s="4"/>
      <c r="D98" s="26"/>
      <c r="E98" s="26"/>
      <c r="F98" s="29"/>
      <c r="H98" s="4">
        <f t="shared" si="11"/>
        <v>1</v>
      </c>
      <c r="I98">
        <f t="shared" si="13"/>
        <v>70</v>
      </c>
      <c r="J98" s="26">
        <f t="shared" si="14"/>
        <v>0.10647608576140734</v>
      </c>
      <c r="K98" s="25">
        <f t="shared" si="15"/>
        <v>9.382166025288619</v>
      </c>
      <c r="L98" s="27">
        <f t="shared" si="12"/>
        <v>0.52123144584936776</v>
      </c>
      <c r="Q98" s="30">
        <v>0.68000000000000038</v>
      </c>
      <c r="R98" s="31">
        <f t="shared" si="16"/>
        <v>0.5199999999999998</v>
      </c>
      <c r="S98" s="31">
        <f t="shared" si="17"/>
        <v>1</v>
      </c>
    </row>
    <row r="99" spans="2:19" x14ac:dyDescent="0.35">
      <c r="B99" s="4"/>
      <c r="D99" s="26"/>
      <c r="E99" s="26"/>
      <c r="F99" s="29"/>
      <c r="H99" s="4">
        <f t="shared" si="11"/>
        <v>1</v>
      </c>
      <c r="I99">
        <f t="shared" si="13"/>
        <v>71</v>
      </c>
      <c r="J99" s="26">
        <f t="shared" si="14"/>
        <v>0.10647608576140734</v>
      </c>
      <c r="K99" s="25">
        <f t="shared" si="15"/>
        <v>9.4886421110500265</v>
      </c>
      <c r="L99" s="27">
        <f t="shared" si="12"/>
        <v>0.5271467839472237</v>
      </c>
      <c r="Q99" s="30">
        <v>0.69000000000000039</v>
      </c>
      <c r="R99" s="31">
        <f t="shared" si="16"/>
        <v>0.51294117647058801</v>
      </c>
      <c r="S99" s="31">
        <f t="shared" si="17"/>
        <v>1</v>
      </c>
    </row>
    <row r="100" spans="2:19" x14ac:dyDescent="0.35">
      <c r="B100" s="4"/>
      <c r="D100" s="26"/>
      <c r="E100" s="26"/>
      <c r="F100" s="29"/>
      <c r="H100" s="4">
        <f t="shared" si="11"/>
        <v>1</v>
      </c>
      <c r="I100">
        <f t="shared" si="13"/>
        <v>72</v>
      </c>
      <c r="J100" s="26">
        <f t="shared" si="14"/>
        <v>0.10528862012094554</v>
      </c>
      <c r="K100" s="25">
        <f t="shared" si="15"/>
        <v>9.5951181968114341</v>
      </c>
      <c r="L100" s="27">
        <f t="shared" si="12"/>
        <v>0.53306212204507963</v>
      </c>
      <c r="Q100" s="30">
        <v>0.7000000000000004</v>
      </c>
      <c r="R100" s="31">
        <f t="shared" si="16"/>
        <v>0.50588235294117623</v>
      </c>
      <c r="S100" s="31">
        <f t="shared" si="17"/>
        <v>1</v>
      </c>
    </row>
    <row r="101" spans="2:19" x14ac:dyDescent="0.35">
      <c r="B101" s="4"/>
      <c r="D101" s="26"/>
      <c r="E101" s="26"/>
      <c r="F101" s="29"/>
      <c r="H101" s="4">
        <f t="shared" si="11"/>
        <v>1</v>
      </c>
      <c r="I101">
        <f t="shared" si="13"/>
        <v>73</v>
      </c>
      <c r="J101" s="26">
        <f t="shared" si="14"/>
        <v>0.10528862012094554</v>
      </c>
      <c r="K101" s="25">
        <f t="shared" si="15"/>
        <v>9.7004068169323805</v>
      </c>
      <c r="L101" s="27">
        <f t="shared" si="12"/>
        <v>0.53891148982957671</v>
      </c>
      <c r="Q101" s="30">
        <v>0.71000000000000041</v>
      </c>
      <c r="R101" s="31">
        <f t="shared" si="16"/>
        <v>0.49882352941176444</v>
      </c>
      <c r="S101" s="31">
        <f t="shared" si="17"/>
        <v>1</v>
      </c>
    </row>
    <row r="102" spans="2:19" x14ac:dyDescent="0.35">
      <c r="B102" s="4"/>
      <c r="D102" s="26"/>
      <c r="E102" s="26"/>
      <c r="F102" s="29"/>
      <c r="H102" s="4">
        <f t="shared" si="11"/>
        <v>1</v>
      </c>
      <c r="I102">
        <f t="shared" si="13"/>
        <v>74</v>
      </c>
      <c r="J102" s="26">
        <f t="shared" si="14"/>
        <v>0.10410115448048375</v>
      </c>
      <c r="K102" s="25">
        <f t="shared" si="15"/>
        <v>9.8056954370533269</v>
      </c>
      <c r="L102" s="27">
        <f t="shared" si="12"/>
        <v>0.54476085761407367</v>
      </c>
      <c r="Q102" s="30">
        <v>0.72000000000000042</v>
      </c>
      <c r="R102" s="31">
        <f t="shared" si="16"/>
        <v>0.49176470588235266</v>
      </c>
      <c r="S102" s="31">
        <f t="shared" si="17"/>
        <v>1</v>
      </c>
    </row>
    <row r="103" spans="2:19" x14ac:dyDescent="0.35">
      <c r="B103" s="4"/>
      <c r="D103" s="26"/>
      <c r="E103" s="26"/>
      <c r="F103" s="29"/>
      <c r="H103" s="4">
        <f t="shared" si="11"/>
        <v>1</v>
      </c>
      <c r="I103">
        <f t="shared" si="13"/>
        <v>75</v>
      </c>
      <c r="J103" s="26">
        <f t="shared" si="14"/>
        <v>0.10291368884002196</v>
      </c>
      <c r="K103" s="25">
        <f t="shared" si="15"/>
        <v>9.9097965915338104</v>
      </c>
      <c r="L103" s="27">
        <f t="shared" si="12"/>
        <v>0.55054425508521165</v>
      </c>
      <c r="Q103" s="30">
        <v>0.73000000000000043</v>
      </c>
      <c r="R103" s="31">
        <f t="shared" si="16"/>
        <v>0.48470588235294088</v>
      </c>
      <c r="S103" s="31">
        <f t="shared" si="17"/>
        <v>1</v>
      </c>
    </row>
    <row r="104" spans="2:19" x14ac:dyDescent="0.35">
      <c r="B104" s="4"/>
      <c r="D104" s="26"/>
      <c r="E104" s="26"/>
      <c r="F104" s="29"/>
      <c r="H104" s="4">
        <f t="shared" si="11"/>
        <v>1</v>
      </c>
      <c r="I104">
        <f t="shared" si="13"/>
        <v>76</v>
      </c>
      <c r="J104" s="26">
        <f t="shared" si="14"/>
        <v>0.10291368884002196</v>
      </c>
      <c r="K104" s="25">
        <f t="shared" si="15"/>
        <v>10.012710280373833</v>
      </c>
      <c r="L104" s="27">
        <f t="shared" si="12"/>
        <v>0.55626168224299066</v>
      </c>
      <c r="Q104" s="30">
        <v>0.74000000000000044</v>
      </c>
      <c r="R104" s="31">
        <f t="shared" si="16"/>
        <v>0.47764705882352909</v>
      </c>
      <c r="S104" s="31">
        <f t="shared" si="17"/>
        <v>1</v>
      </c>
    </row>
    <row r="105" spans="2:19" x14ac:dyDescent="0.35">
      <c r="B105" s="4"/>
      <c r="D105" s="26"/>
      <c r="E105" s="26"/>
      <c r="F105" s="29"/>
      <c r="H105" s="4">
        <f t="shared" si="11"/>
        <v>1</v>
      </c>
      <c r="I105">
        <f t="shared" si="13"/>
        <v>77</v>
      </c>
      <c r="J105" s="26">
        <f t="shared" si="14"/>
        <v>0.10172622319956016</v>
      </c>
      <c r="K105" s="25">
        <f t="shared" si="15"/>
        <v>10.115623969213855</v>
      </c>
      <c r="L105" s="27">
        <f t="shared" si="12"/>
        <v>0.56197910940076978</v>
      </c>
      <c r="Q105" s="30">
        <v>0.75000000000000044</v>
      </c>
      <c r="R105" s="31">
        <f t="shared" si="16"/>
        <v>0.47058823529411731</v>
      </c>
      <c r="S105" s="31">
        <f t="shared" si="17"/>
        <v>1</v>
      </c>
    </row>
    <row r="106" spans="2:19" x14ac:dyDescent="0.35">
      <c r="B106" s="4"/>
      <c r="D106" s="26"/>
      <c r="E106" s="26"/>
      <c r="F106" s="29"/>
      <c r="H106" s="4">
        <f t="shared" si="11"/>
        <v>1</v>
      </c>
      <c r="I106">
        <f t="shared" si="13"/>
        <v>78</v>
      </c>
      <c r="J106" s="26">
        <f t="shared" si="14"/>
        <v>0.10172622319956016</v>
      </c>
      <c r="K106" s="25">
        <f t="shared" si="15"/>
        <v>10.217350192413415</v>
      </c>
      <c r="L106" s="27">
        <f t="shared" si="12"/>
        <v>0.5676305662451897</v>
      </c>
      <c r="Q106" s="30">
        <v>0.76000000000000045</v>
      </c>
      <c r="R106" s="31">
        <f t="shared" si="16"/>
        <v>0.46352941176470552</v>
      </c>
      <c r="S106" s="31">
        <f t="shared" si="17"/>
        <v>1</v>
      </c>
    </row>
    <row r="107" spans="2:19" x14ac:dyDescent="0.35">
      <c r="B107" s="4"/>
      <c r="D107" s="26"/>
      <c r="E107" s="26"/>
      <c r="F107" s="29"/>
      <c r="H107" s="4">
        <f t="shared" si="11"/>
        <v>1</v>
      </c>
      <c r="I107">
        <f t="shared" si="13"/>
        <v>79</v>
      </c>
      <c r="J107" s="26">
        <f t="shared" si="14"/>
        <v>0.10053875755909837</v>
      </c>
      <c r="K107" s="25">
        <f>+K106+J106</f>
        <v>10.319076415612974</v>
      </c>
      <c r="L107" s="27">
        <f t="shared" si="12"/>
        <v>0.57328202308960963</v>
      </c>
      <c r="Q107" s="30">
        <v>0.77000000000000046</v>
      </c>
      <c r="R107" s="31">
        <f t="shared" si="16"/>
        <v>0.45647058823529385</v>
      </c>
      <c r="S107" s="31">
        <f t="shared" si="17"/>
        <v>1</v>
      </c>
    </row>
    <row r="108" spans="2:19" x14ac:dyDescent="0.35">
      <c r="B108" s="4"/>
      <c r="D108" s="26"/>
      <c r="E108" s="26"/>
      <c r="F108" s="29"/>
      <c r="H108" s="4">
        <f t="shared" si="11"/>
        <v>1</v>
      </c>
      <c r="I108">
        <f t="shared" si="13"/>
        <v>80</v>
      </c>
      <c r="J108" s="26">
        <f t="shared" si="14"/>
        <v>0.10053875755909837</v>
      </c>
      <c r="K108" s="25">
        <f t="shared" si="15"/>
        <v>10.419615173172073</v>
      </c>
      <c r="L108" s="27">
        <f t="shared" si="12"/>
        <v>0.57886750962067068</v>
      </c>
      <c r="Q108" s="30">
        <v>0.78000000000000047</v>
      </c>
      <c r="R108" s="31">
        <f t="shared" si="16"/>
        <v>0.44941176470588207</v>
      </c>
      <c r="S108" s="31">
        <f t="shared" si="17"/>
        <v>1</v>
      </c>
    </row>
    <row r="109" spans="2:19" x14ac:dyDescent="0.35">
      <c r="B109" s="4"/>
      <c r="D109" s="26"/>
      <c r="E109" s="26"/>
      <c r="F109" s="29"/>
      <c r="H109" s="4">
        <f t="shared" si="11"/>
        <v>1</v>
      </c>
      <c r="I109">
        <f t="shared" si="13"/>
        <v>81</v>
      </c>
      <c r="J109" s="26">
        <f t="shared" si="14"/>
        <v>9.9351291918636564E-2</v>
      </c>
      <c r="K109" s="25">
        <f t="shared" si="15"/>
        <v>10.520153930731171</v>
      </c>
      <c r="L109" s="27">
        <f t="shared" si="12"/>
        <v>0.58445299615173174</v>
      </c>
      <c r="Q109" s="30">
        <v>0.79000000000000048</v>
      </c>
      <c r="R109" s="31">
        <f t="shared" si="16"/>
        <v>0.44235294117647028</v>
      </c>
      <c r="S109" s="31">
        <f t="shared" si="17"/>
        <v>1</v>
      </c>
    </row>
    <row r="110" spans="2:19" x14ac:dyDescent="0.35">
      <c r="B110" s="4"/>
      <c r="D110" s="26"/>
      <c r="E110" s="26"/>
      <c r="F110" s="29"/>
      <c r="H110" s="4">
        <f t="shared" si="11"/>
        <v>1</v>
      </c>
      <c r="I110">
        <f t="shared" si="13"/>
        <v>82</v>
      </c>
      <c r="J110" s="26">
        <f t="shared" si="14"/>
        <v>9.9351291918636564E-2</v>
      </c>
      <c r="K110" s="25">
        <f t="shared" si="15"/>
        <v>10.619505222649808</v>
      </c>
      <c r="L110" s="27">
        <f t="shared" si="12"/>
        <v>0.58997251236943382</v>
      </c>
      <c r="Q110" s="30">
        <v>0.80000000000000049</v>
      </c>
      <c r="R110" s="31">
        <f t="shared" si="16"/>
        <v>0.4352941176470585</v>
      </c>
      <c r="S110" s="31">
        <f t="shared" si="17"/>
        <v>1</v>
      </c>
    </row>
    <row r="111" spans="2:19" x14ac:dyDescent="0.35">
      <c r="B111" s="4"/>
      <c r="D111" s="26"/>
      <c r="E111" s="26"/>
      <c r="F111" s="29"/>
      <c r="H111" s="4">
        <f t="shared" si="11"/>
        <v>1</v>
      </c>
      <c r="I111">
        <f t="shared" si="13"/>
        <v>83</v>
      </c>
      <c r="J111" s="26">
        <f t="shared" si="14"/>
        <v>9.8163826278174771E-2</v>
      </c>
      <c r="K111" s="25">
        <f t="shared" si="15"/>
        <v>10.718856514568445</v>
      </c>
      <c r="L111" s="27">
        <f t="shared" si="12"/>
        <v>0.5954920285871359</v>
      </c>
      <c r="Q111" s="30">
        <v>0.8100000000000005</v>
      </c>
      <c r="R111" s="31">
        <f t="shared" si="16"/>
        <v>0.42823529411764671</v>
      </c>
      <c r="S111" s="31">
        <f t="shared" si="17"/>
        <v>1</v>
      </c>
    </row>
    <row r="112" spans="2:19" x14ac:dyDescent="0.35">
      <c r="B112" s="4"/>
      <c r="D112" s="26"/>
      <c r="E112" s="26"/>
      <c r="F112" s="29"/>
      <c r="H112" s="4">
        <f t="shared" si="11"/>
        <v>1</v>
      </c>
      <c r="I112">
        <f t="shared" si="13"/>
        <v>84</v>
      </c>
      <c r="J112" s="26">
        <f t="shared" si="14"/>
        <v>9.6976360637712977E-2</v>
      </c>
      <c r="K112" s="25">
        <f t="shared" si="15"/>
        <v>10.81702034084662</v>
      </c>
      <c r="L112" s="27">
        <f t="shared" si="12"/>
        <v>0.6009455744914789</v>
      </c>
      <c r="Q112" s="30">
        <v>0.82000000000000051</v>
      </c>
      <c r="R112" s="31">
        <f t="shared" si="16"/>
        <v>0.42117647058823493</v>
      </c>
      <c r="S112" s="31">
        <f t="shared" si="17"/>
        <v>1</v>
      </c>
    </row>
    <row r="113" spans="2:19" x14ac:dyDescent="0.35">
      <c r="B113" s="4"/>
      <c r="D113" s="26"/>
      <c r="E113" s="26"/>
      <c r="F113" s="29"/>
      <c r="H113" s="4">
        <f t="shared" si="11"/>
        <v>1</v>
      </c>
      <c r="I113">
        <f t="shared" si="13"/>
        <v>85</v>
      </c>
      <c r="J113" s="26">
        <f t="shared" si="14"/>
        <v>9.6976360637712977E-2</v>
      </c>
      <c r="K113" s="25">
        <f t="shared" si="15"/>
        <v>10.913996701484333</v>
      </c>
      <c r="L113" s="27">
        <f t="shared" si="12"/>
        <v>0.60633315008246291</v>
      </c>
      <c r="Q113" s="30">
        <v>0.83000000000000052</v>
      </c>
      <c r="R113" s="31">
        <f t="shared" si="16"/>
        <v>0.41411764705882315</v>
      </c>
      <c r="S113" s="31">
        <f t="shared" si="17"/>
        <v>1</v>
      </c>
    </row>
    <row r="114" spans="2:19" x14ac:dyDescent="0.35">
      <c r="B114" s="4"/>
      <c r="D114" s="26"/>
      <c r="E114" s="26"/>
      <c r="F114" s="29"/>
      <c r="H114" s="4">
        <f t="shared" si="11"/>
        <v>1</v>
      </c>
      <c r="I114">
        <f t="shared" si="13"/>
        <v>86</v>
      </c>
      <c r="J114" s="26">
        <f t="shared" si="14"/>
        <v>9.5788894997251184E-2</v>
      </c>
      <c r="K114" s="25">
        <f t="shared" si="15"/>
        <v>11.010973062122046</v>
      </c>
      <c r="L114" s="27">
        <f t="shared" si="12"/>
        <v>0.61172072567344704</v>
      </c>
      <c r="Q114" s="30">
        <v>0.84000000000000052</v>
      </c>
      <c r="R114" s="31">
        <f t="shared" si="16"/>
        <v>0.40705882352941136</v>
      </c>
      <c r="S114" s="31">
        <f t="shared" si="17"/>
        <v>1</v>
      </c>
    </row>
    <row r="115" spans="2:19" x14ac:dyDescent="0.35">
      <c r="B115" s="4"/>
      <c r="D115" s="26"/>
      <c r="E115" s="26"/>
      <c r="F115" s="29"/>
      <c r="H115" s="4">
        <f t="shared" si="11"/>
        <v>1</v>
      </c>
      <c r="I115">
        <f t="shared" si="13"/>
        <v>87</v>
      </c>
      <c r="J115" s="26">
        <f t="shared" si="14"/>
        <v>9.5788894997251184E-2</v>
      </c>
      <c r="K115" s="25">
        <f t="shared" si="15"/>
        <v>11.106761957119296</v>
      </c>
      <c r="L115" s="27">
        <f t="shared" si="12"/>
        <v>0.61704233095107197</v>
      </c>
      <c r="Q115" s="30">
        <v>0.85000000000000053</v>
      </c>
      <c r="R115" s="31">
        <f t="shared" si="16"/>
        <v>0.39999999999999947</v>
      </c>
      <c r="S115" s="31">
        <f t="shared" si="17"/>
        <v>1</v>
      </c>
    </row>
    <row r="116" spans="2:19" x14ac:dyDescent="0.35">
      <c r="B116" s="4"/>
      <c r="D116" s="26"/>
      <c r="E116" s="26"/>
      <c r="F116" s="29"/>
      <c r="H116" s="4">
        <f t="shared" si="11"/>
        <v>1</v>
      </c>
      <c r="I116">
        <f t="shared" si="13"/>
        <v>88</v>
      </c>
      <c r="J116" s="26">
        <f t="shared" si="14"/>
        <v>9.460142935678939E-2</v>
      </c>
      <c r="K116" s="25">
        <f t="shared" si="15"/>
        <v>11.202550852116548</v>
      </c>
      <c r="L116" s="27">
        <f t="shared" si="12"/>
        <v>0.62236393622869712</v>
      </c>
      <c r="Q116" s="30">
        <v>0.86000000000000054</v>
      </c>
      <c r="R116" s="31">
        <f t="shared" si="16"/>
        <v>0.38999999999999946</v>
      </c>
      <c r="S116" s="31">
        <f t="shared" si="17"/>
        <v>1</v>
      </c>
    </row>
    <row r="117" spans="2:19" x14ac:dyDescent="0.35">
      <c r="B117" s="4"/>
      <c r="D117" s="26"/>
      <c r="E117" s="26"/>
      <c r="F117" s="29"/>
      <c r="H117" s="4">
        <f t="shared" si="11"/>
        <v>1</v>
      </c>
      <c r="I117">
        <f t="shared" si="13"/>
        <v>89</v>
      </c>
      <c r="J117" s="26">
        <f t="shared" si="14"/>
        <v>9.460142935678939E-2</v>
      </c>
      <c r="K117" s="25">
        <f t="shared" si="15"/>
        <v>11.297152281473338</v>
      </c>
      <c r="L117" s="27">
        <f t="shared" si="12"/>
        <v>0.62761957119296319</v>
      </c>
      <c r="Q117" s="30">
        <v>0.87000000000000055</v>
      </c>
      <c r="R117" s="31">
        <f t="shared" si="16"/>
        <v>0.37999999999999945</v>
      </c>
      <c r="S117" s="31">
        <f t="shared" si="17"/>
        <v>1</v>
      </c>
    </row>
    <row r="118" spans="2:19" x14ac:dyDescent="0.35">
      <c r="B118" s="4"/>
      <c r="D118" s="26"/>
      <c r="E118" s="26"/>
      <c r="F118" s="29"/>
      <c r="H118" s="4">
        <f t="shared" si="11"/>
        <v>1</v>
      </c>
      <c r="I118">
        <f t="shared" si="13"/>
        <v>90</v>
      </c>
      <c r="J118" s="26">
        <f t="shared" si="14"/>
        <v>9.3413963716327611E-2</v>
      </c>
      <c r="K118" s="25">
        <f t="shared" si="15"/>
        <v>11.391753710830127</v>
      </c>
      <c r="L118" s="27">
        <f t="shared" si="12"/>
        <v>0.63287520615722925</v>
      </c>
      <c r="Q118" s="30">
        <v>0.88000000000000056</v>
      </c>
      <c r="R118" s="31">
        <f t="shared" si="16"/>
        <v>0.36999999999999944</v>
      </c>
      <c r="S118" s="31">
        <f t="shared" si="17"/>
        <v>1</v>
      </c>
    </row>
    <row r="119" spans="2:19" x14ac:dyDescent="0.35">
      <c r="B119" s="4"/>
      <c r="D119" s="26"/>
      <c r="E119" s="26"/>
      <c r="F119" s="29"/>
      <c r="H119" s="4">
        <f t="shared" si="11"/>
        <v>1</v>
      </c>
      <c r="I119">
        <f t="shared" si="13"/>
        <v>91</v>
      </c>
      <c r="J119" s="26">
        <f t="shared" si="14"/>
        <v>9.3413963716327611E-2</v>
      </c>
      <c r="K119" s="25">
        <f t="shared" si="15"/>
        <v>11.485167674546455</v>
      </c>
      <c r="L119" s="27">
        <f t="shared" si="12"/>
        <v>0.63806487080813634</v>
      </c>
      <c r="Q119" s="30">
        <v>0.89000000000000057</v>
      </c>
      <c r="R119" s="31">
        <f t="shared" si="16"/>
        <v>0.35999999999999943</v>
      </c>
      <c r="S119" s="31">
        <f t="shared" si="17"/>
        <v>1</v>
      </c>
    </row>
    <row r="120" spans="2:19" x14ac:dyDescent="0.35">
      <c r="B120" s="4"/>
      <c r="D120" s="26"/>
      <c r="E120" s="26"/>
      <c r="F120" s="29"/>
      <c r="H120" s="4">
        <f t="shared" si="11"/>
        <v>1</v>
      </c>
      <c r="I120">
        <f t="shared" si="13"/>
        <v>92</v>
      </c>
      <c r="J120" s="26">
        <f t="shared" si="14"/>
        <v>9.2226498075865818E-2</v>
      </c>
      <c r="K120" s="25">
        <f t="shared" si="15"/>
        <v>11.578581638262783</v>
      </c>
      <c r="L120" s="27">
        <f t="shared" si="12"/>
        <v>0.64325453545904354</v>
      </c>
      <c r="Q120" s="30">
        <v>0.90000000000000058</v>
      </c>
      <c r="R120" s="31">
        <f t="shared" si="16"/>
        <v>0.34999999999999942</v>
      </c>
      <c r="S120" s="31">
        <f t="shared" si="17"/>
        <v>1</v>
      </c>
    </row>
    <row r="121" spans="2:19" x14ac:dyDescent="0.35">
      <c r="B121" s="4"/>
      <c r="D121" s="26"/>
      <c r="E121" s="26"/>
      <c r="F121" s="29"/>
      <c r="H121" s="4">
        <f t="shared" si="11"/>
        <v>1</v>
      </c>
      <c r="I121">
        <f t="shared" si="13"/>
        <v>93</v>
      </c>
      <c r="J121" s="26">
        <f t="shared" si="14"/>
        <v>9.2226498075865818E-2</v>
      </c>
      <c r="K121" s="25">
        <f t="shared" si="15"/>
        <v>11.670808136338648</v>
      </c>
      <c r="L121" s="27">
        <f t="shared" si="12"/>
        <v>0.64837822979659154</v>
      </c>
      <c r="Q121" s="30">
        <v>0.91000000000000059</v>
      </c>
      <c r="R121" s="31">
        <f t="shared" si="16"/>
        <v>0.33999999999999941</v>
      </c>
      <c r="S121" s="31">
        <f t="shared" si="17"/>
        <v>1</v>
      </c>
    </row>
    <row r="122" spans="2:19" x14ac:dyDescent="0.35">
      <c r="B122" s="4"/>
      <c r="D122" s="26"/>
      <c r="E122" s="26"/>
      <c r="F122" s="29"/>
      <c r="H122" s="4">
        <f t="shared" si="11"/>
        <v>1</v>
      </c>
      <c r="I122">
        <f t="shared" si="13"/>
        <v>94</v>
      </c>
      <c r="J122" s="26">
        <f t="shared" si="14"/>
        <v>9.1039032435404024E-2</v>
      </c>
      <c r="K122" s="25">
        <f t="shared" si="15"/>
        <v>11.763034634414513</v>
      </c>
      <c r="L122" s="27">
        <f t="shared" si="12"/>
        <v>0.65350192413413966</v>
      </c>
      <c r="Q122" s="30">
        <v>0.9200000000000006</v>
      </c>
      <c r="R122" s="31">
        <f t="shared" si="16"/>
        <v>0.3299999999999994</v>
      </c>
      <c r="S122" s="31">
        <f t="shared" si="17"/>
        <v>1</v>
      </c>
    </row>
    <row r="123" spans="2:19" x14ac:dyDescent="0.35">
      <c r="B123" s="4"/>
      <c r="D123" s="26"/>
      <c r="E123" s="26"/>
      <c r="F123" s="29"/>
      <c r="H123" s="4">
        <f t="shared" si="11"/>
        <v>1</v>
      </c>
      <c r="I123">
        <f t="shared" si="13"/>
        <v>95</v>
      </c>
      <c r="J123" s="26">
        <f t="shared" si="14"/>
        <v>9.1039032435404024E-2</v>
      </c>
      <c r="K123" s="25">
        <f t="shared" si="15"/>
        <v>11.854073666849917</v>
      </c>
      <c r="L123" s="27">
        <f t="shared" si="12"/>
        <v>0.65855964815832868</v>
      </c>
      <c r="Q123" s="30">
        <v>0.9300000000000006</v>
      </c>
      <c r="R123" s="31">
        <f t="shared" si="16"/>
        <v>0.3199999999999994</v>
      </c>
      <c r="S123" s="31">
        <f t="shared" si="17"/>
        <v>1</v>
      </c>
    </row>
    <row r="124" spans="2:19" x14ac:dyDescent="0.35">
      <c r="B124" s="4"/>
      <c r="D124" s="26"/>
      <c r="E124" s="26"/>
      <c r="F124" s="29"/>
      <c r="H124" s="4">
        <f t="shared" si="11"/>
        <v>1</v>
      </c>
      <c r="I124">
        <f t="shared" si="13"/>
        <v>96</v>
      </c>
      <c r="J124" s="26">
        <f t="shared" si="14"/>
        <v>8.9851566794942231E-2</v>
      </c>
      <c r="K124" s="25">
        <f t="shared" si="15"/>
        <v>11.945112699285321</v>
      </c>
      <c r="L124" s="27">
        <f t="shared" si="12"/>
        <v>0.66361737218251782</v>
      </c>
      <c r="Q124" s="30">
        <v>0.94000000000000061</v>
      </c>
      <c r="R124" s="31">
        <f t="shared" si="16"/>
        <v>0.30999999999999939</v>
      </c>
      <c r="S124" s="31">
        <f t="shared" si="17"/>
        <v>1</v>
      </c>
    </row>
    <row r="125" spans="2:19" x14ac:dyDescent="0.35">
      <c r="B125" s="4"/>
      <c r="D125" s="26"/>
      <c r="E125" s="26"/>
      <c r="F125" s="29"/>
      <c r="H125" s="4">
        <f t="shared" si="11"/>
        <v>1</v>
      </c>
      <c r="I125">
        <f t="shared" si="13"/>
        <v>97</v>
      </c>
      <c r="J125" s="26">
        <f t="shared" si="14"/>
        <v>8.9851566794942231E-2</v>
      </c>
      <c r="K125" s="25">
        <f t="shared" si="15"/>
        <v>12.034964266080264</v>
      </c>
      <c r="L125" s="27">
        <f t="shared" si="12"/>
        <v>0.66860912589334798</v>
      </c>
      <c r="Q125" s="30">
        <v>0.95000000000000062</v>
      </c>
      <c r="R125" s="31">
        <f t="shared" si="16"/>
        <v>0.29999999999999938</v>
      </c>
      <c r="S125" s="31">
        <f t="shared" si="17"/>
        <v>1</v>
      </c>
    </row>
    <row r="126" spans="2:19" x14ac:dyDescent="0.35">
      <c r="B126" s="4"/>
      <c r="D126" s="26"/>
      <c r="E126" s="26"/>
      <c r="F126" s="29"/>
      <c r="H126" s="4">
        <f t="shared" si="11"/>
        <v>1</v>
      </c>
      <c r="I126">
        <f t="shared" si="13"/>
        <v>98</v>
      </c>
      <c r="J126" s="26">
        <f t="shared" si="14"/>
        <v>8.8664101154480451E-2</v>
      </c>
      <c r="K126" s="25">
        <f t="shared" si="15"/>
        <v>12.124815832875207</v>
      </c>
      <c r="L126" s="27">
        <f t="shared" si="12"/>
        <v>0.67360087960417814</v>
      </c>
      <c r="Q126" s="30">
        <v>0.96000000000000063</v>
      </c>
      <c r="R126" s="31">
        <f t="shared" si="16"/>
        <v>0.28999999999999937</v>
      </c>
      <c r="S126" s="31">
        <f t="shared" si="17"/>
        <v>1</v>
      </c>
    </row>
    <row r="127" spans="2:19" x14ac:dyDescent="0.35">
      <c r="B127" s="4"/>
      <c r="D127" s="26"/>
      <c r="E127" s="26"/>
      <c r="F127" s="29"/>
      <c r="H127" s="4">
        <f t="shared" si="11"/>
        <v>1</v>
      </c>
      <c r="I127">
        <f t="shared" si="13"/>
        <v>99</v>
      </c>
      <c r="J127" s="26">
        <f t="shared" si="14"/>
        <v>8.8664101154480451E-2</v>
      </c>
      <c r="K127" s="25">
        <f t="shared" si="15"/>
        <v>12.213479934029687</v>
      </c>
      <c r="L127" s="27">
        <f t="shared" si="12"/>
        <v>0.67852666300164932</v>
      </c>
      <c r="Q127" s="30">
        <v>0.97000000000000064</v>
      </c>
      <c r="R127" s="31">
        <f t="shared" si="16"/>
        <v>0.27999999999999936</v>
      </c>
      <c r="S127" s="31">
        <f t="shared" si="17"/>
        <v>1</v>
      </c>
    </row>
    <row r="128" spans="2:19" x14ac:dyDescent="0.35">
      <c r="B128" s="4"/>
      <c r="D128" s="26"/>
      <c r="E128" s="26"/>
      <c r="F128" s="29"/>
      <c r="H128" s="4">
        <f t="shared" si="11"/>
        <v>1</v>
      </c>
      <c r="I128">
        <f t="shared" si="13"/>
        <v>100</v>
      </c>
      <c r="J128" s="26">
        <f t="shared" si="14"/>
        <v>8.7476635514018658E-2</v>
      </c>
      <c r="K128" s="25">
        <f t="shared" si="15"/>
        <v>12.302144035184167</v>
      </c>
      <c r="L128" s="27">
        <f t="shared" si="12"/>
        <v>0.68345244639912039</v>
      </c>
      <c r="Q128" s="30">
        <v>0.98000000000000065</v>
      </c>
      <c r="R128" s="31">
        <f t="shared" si="16"/>
        <v>0.26999999999999935</v>
      </c>
      <c r="S128" s="31">
        <f t="shared" si="17"/>
        <v>1</v>
      </c>
    </row>
    <row r="129" spans="2:19" x14ac:dyDescent="0.35">
      <c r="B129" s="4"/>
      <c r="D129" s="26"/>
      <c r="E129" s="26"/>
      <c r="F129" s="29"/>
      <c r="H129" s="4">
        <f t="shared" si="11"/>
        <v>1</v>
      </c>
      <c r="I129">
        <f t="shared" si="13"/>
        <v>101</v>
      </c>
      <c r="J129" s="26">
        <f t="shared" si="14"/>
        <v>8.7476635514018658E-2</v>
      </c>
      <c r="K129" s="25">
        <f t="shared" si="15"/>
        <v>12.389620670698186</v>
      </c>
      <c r="L129" s="27">
        <f t="shared" si="12"/>
        <v>0.68831225948323249</v>
      </c>
      <c r="Q129" s="30">
        <v>0.99000000000000066</v>
      </c>
      <c r="R129" s="31">
        <f t="shared" si="16"/>
        <v>0.25999999999999934</v>
      </c>
      <c r="S129" s="31">
        <f t="shared" si="17"/>
        <v>1</v>
      </c>
    </row>
    <row r="130" spans="2:19" x14ac:dyDescent="0.35">
      <c r="B130" s="4"/>
      <c r="D130" s="26"/>
      <c r="E130" s="26"/>
      <c r="F130" s="29"/>
      <c r="H130" s="4">
        <f t="shared" si="11"/>
        <v>1</v>
      </c>
      <c r="I130">
        <f t="shared" si="13"/>
        <v>102</v>
      </c>
      <c r="J130" s="26">
        <f t="shared" si="14"/>
        <v>8.6289169873556851E-2</v>
      </c>
      <c r="K130" s="25">
        <f t="shared" si="15"/>
        <v>12.477097306212205</v>
      </c>
      <c r="L130" s="27">
        <f t="shared" si="12"/>
        <v>0.6931720725673447</v>
      </c>
      <c r="Q130" s="30">
        <v>1.0000000000000007</v>
      </c>
      <c r="R130" s="31">
        <f t="shared" si="16"/>
        <v>0.25</v>
      </c>
      <c r="S130" s="31">
        <f t="shared" si="17"/>
        <v>1</v>
      </c>
    </row>
    <row r="131" spans="2:19" x14ac:dyDescent="0.35">
      <c r="B131" s="4"/>
      <c r="D131" s="26"/>
      <c r="E131" s="26"/>
      <c r="F131" s="29"/>
      <c r="H131" s="4">
        <f t="shared" si="11"/>
        <v>1</v>
      </c>
      <c r="I131">
        <f t="shared" si="13"/>
        <v>103</v>
      </c>
      <c r="J131" s="26">
        <f t="shared" si="14"/>
        <v>8.6289169873556851E-2</v>
      </c>
      <c r="K131" s="25">
        <f t="shared" si="15"/>
        <v>12.563386476085762</v>
      </c>
      <c r="L131" s="27">
        <f t="shared" si="12"/>
        <v>0.69796591533809793</v>
      </c>
    </row>
    <row r="132" spans="2:19" x14ac:dyDescent="0.35">
      <c r="B132" s="4"/>
      <c r="D132" s="26"/>
      <c r="E132" s="26"/>
      <c r="F132" s="29"/>
      <c r="H132" s="4">
        <f t="shared" si="11"/>
        <v>1</v>
      </c>
      <c r="I132">
        <f t="shared" si="13"/>
        <v>104</v>
      </c>
      <c r="J132" s="26">
        <f t="shared" si="14"/>
        <v>8.5101704233095057E-2</v>
      </c>
      <c r="K132" s="25">
        <f t="shared" si="15"/>
        <v>12.64967564595932</v>
      </c>
      <c r="L132" s="27">
        <f t="shared" si="12"/>
        <v>0.70275975810885116</v>
      </c>
    </row>
    <row r="133" spans="2:19" x14ac:dyDescent="0.35">
      <c r="B133" s="4"/>
      <c r="D133" s="26"/>
      <c r="E133" s="26"/>
      <c r="F133" s="29"/>
      <c r="H133" s="4">
        <f t="shared" si="11"/>
        <v>1</v>
      </c>
      <c r="I133">
        <f t="shared" si="13"/>
        <v>105</v>
      </c>
      <c r="J133" s="26">
        <f t="shared" si="14"/>
        <v>8.5101704233095057E-2</v>
      </c>
      <c r="K133" s="25">
        <f t="shared" si="15"/>
        <v>12.734777350192415</v>
      </c>
      <c r="L133" s="27">
        <f t="shared" si="12"/>
        <v>0.70748763056624531</v>
      </c>
    </row>
    <row r="134" spans="2:19" x14ac:dyDescent="0.35">
      <c r="B134" s="4"/>
      <c r="D134" s="26"/>
      <c r="E134" s="26"/>
      <c r="F134" s="29"/>
      <c r="H134" s="4">
        <f t="shared" si="11"/>
        <v>1</v>
      </c>
      <c r="I134">
        <f t="shared" si="13"/>
        <v>106</v>
      </c>
      <c r="J134" s="26">
        <f t="shared" si="14"/>
        <v>8.3914238592633264E-2</v>
      </c>
      <c r="K134" s="25">
        <f t="shared" si="15"/>
        <v>12.81987905442551</v>
      </c>
      <c r="L134" s="27">
        <f t="shared" si="12"/>
        <v>0.71221550302363945</v>
      </c>
    </row>
    <row r="135" spans="2:19" x14ac:dyDescent="0.35">
      <c r="B135" s="4"/>
      <c r="D135" s="26"/>
      <c r="E135" s="26"/>
      <c r="F135" s="29"/>
      <c r="H135" s="4">
        <f t="shared" si="11"/>
        <v>1</v>
      </c>
      <c r="I135">
        <f t="shared" si="13"/>
        <v>107</v>
      </c>
      <c r="J135" s="26">
        <f t="shared" si="14"/>
        <v>8.3914238592633264E-2</v>
      </c>
      <c r="K135" s="25">
        <f t="shared" si="15"/>
        <v>12.903793293018143</v>
      </c>
      <c r="L135" s="27">
        <f t="shared" si="12"/>
        <v>0.71687740516767462</v>
      </c>
    </row>
    <row r="136" spans="2:19" x14ac:dyDescent="0.35">
      <c r="B136" s="4"/>
      <c r="D136" s="26"/>
      <c r="E136" s="26"/>
      <c r="F136" s="29"/>
      <c r="H136" s="4">
        <f t="shared" si="11"/>
        <v>1</v>
      </c>
      <c r="I136">
        <f t="shared" si="13"/>
        <v>108</v>
      </c>
      <c r="J136" s="26">
        <f t="shared" si="14"/>
        <v>8.2726772952171471E-2</v>
      </c>
      <c r="K136" s="25">
        <f t="shared" si="15"/>
        <v>12.987707531610777</v>
      </c>
      <c r="L136" s="27">
        <f t="shared" si="12"/>
        <v>0.72153930731170979</v>
      </c>
    </row>
    <row r="137" spans="2:19" x14ac:dyDescent="0.35">
      <c r="B137" s="4"/>
      <c r="D137" s="26"/>
      <c r="E137" s="26"/>
      <c r="F137" s="29"/>
      <c r="H137" s="4">
        <f t="shared" si="11"/>
        <v>1</v>
      </c>
      <c r="I137">
        <f t="shared" si="13"/>
        <v>109</v>
      </c>
      <c r="J137" s="26">
        <f t="shared" si="14"/>
        <v>8.2726772952171471E-2</v>
      </c>
      <c r="K137" s="25">
        <f t="shared" si="15"/>
        <v>13.070434304562948</v>
      </c>
      <c r="L137" s="27">
        <f t="shared" si="12"/>
        <v>0.72613523914238598</v>
      </c>
    </row>
    <row r="138" spans="2:19" x14ac:dyDescent="0.35">
      <c r="B138" s="4"/>
      <c r="D138" s="26"/>
      <c r="E138" s="26"/>
      <c r="F138" s="29"/>
      <c r="H138" s="4">
        <f t="shared" si="11"/>
        <v>1</v>
      </c>
      <c r="I138">
        <f t="shared" si="13"/>
        <v>110</v>
      </c>
      <c r="J138" s="26">
        <f t="shared" si="14"/>
        <v>8.1539307311709677E-2</v>
      </c>
      <c r="K138" s="25">
        <f t="shared" si="15"/>
        <v>13.153161077515119</v>
      </c>
      <c r="L138" s="27">
        <f t="shared" si="12"/>
        <v>0.73073117097306217</v>
      </c>
    </row>
    <row r="139" spans="2:19" x14ac:dyDescent="0.35">
      <c r="B139" s="4"/>
      <c r="D139" s="26"/>
      <c r="E139" s="26"/>
      <c r="F139" s="29"/>
      <c r="H139" s="4">
        <f t="shared" si="11"/>
        <v>1</v>
      </c>
      <c r="I139">
        <f t="shared" si="13"/>
        <v>111</v>
      </c>
      <c r="J139" s="26">
        <f t="shared" si="14"/>
        <v>8.1539307311709677E-2</v>
      </c>
      <c r="K139" s="25">
        <f t="shared" si="15"/>
        <v>13.234700384826828</v>
      </c>
      <c r="L139" s="27">
        <f t="shared" si="12"/>
        <v>0.73526113249037939</v>
      </c>
    </row>
    <row r="140" spans="2:19" x14ac:dyDescent="0.35">
      <c r="B140" s="4"/>
      <c r="D140" s="26"/>
      <c r="E140" s="26"/>
      <c r="F140" s="29"/>
      <c r="H140" s="4">
        <f t="shared" si="11"/>
        <v>1</v>
      </c>
      <c r="I140">
        <f t="shared" si="13"/>
        <v>112</v>
      </c>
      <c r="J140" s="26">
        <f t="shared" si="14"/>
        <v>8.1539307311709677E-2</v>
      </c>
      <c r="K140" s="25">
        <f t="shared" si="15"/>
        <v>13.316239692138538</v>
      </c>
      <c r="L140" s="27">
        <f t="shared" si="12"/>
        <v>0.7397910940076966</v>
      </c>
    </row>
    <row r="141" spans="2:19" x14ac:dyDescent="0.35">
      <c r="B141" s="4"/>
      <c r="D141" s="26"/>
      <c r="E141" s="26"/>
      <c r="F141" s="29"/>
      <c r="H141" s="4">
        <f t="shared" si="11"/>
        <v>1</v>
      </c>
      <c r="I141">
        <f t="shared" si="13"/>
        <v>113</v>
      </c>
      <c r="J141" s="26">
        <f t="shared" si="14"/>
        <v>8.0351841671247884E-2</v>
      </c>
      <c r="K141" s="25">
        <f t="shared" si="15"/>
        <v>13.397778999450248</v>
      </c>
      <c r="L141" s="27">
        <f t="shared" si="12"/>
        <v>0.74432105552501371</v>
      </c>
    </row>
    <row r="142" spans="2:19" x14ac:dyDescent="0.35">
      <c r="B142" s="4"/>
      <c r="D142" s="26"/>
      <c r="E142" s="26"/>
      <c r="F142" s="29"/>
      <c r="H142" s="4">
        <f t="shared" si="11"/>
        <v>1</v>
      </c>
      <c r="I142">
        <f t="shared" si="13"/>
        <v>114</v>
      </c>
      <c r="J142" s="26">
        <f t="shared" si="14"/>
        <v>8.0351841671247884E-2</v>
      </c>
      <c r="K142" s="25">
        <f t="shared" si="15"/>
        <v>13.478130841121496</v>
      </c>
      <c r="L142" s="27">
        <f t="shared" si="12"/>
        <v>0.74878504672897206</v>
      </c>
    </row>
    <row r="143" spans="2:19" x14ac:dyDescent="0.35">
      <c r="B143" s="4"/>
      <c r="D143" s="26"/>
      <c r="E143" s="26"/>
      <c r="F143" s="29"/>
      <c r="H143" s="4">
        <f t="shared" si="11"/>
        <v>1</v>
      </c>
      <c r="I143">
        <f t="shared" si="13"/>
        <v>115</v>
      </c>
      <c r="J143" s="26">
        <f t="shared" si="14"/>
        <v>7.9164376030786091E-2</v>
      </c>
      <c r="K143" s="25">
        <f t="shared" si="15"/>
        <v>13.558482682792745</v>
      </c>
      <c r="L143" s="27">
        <f t="shared" si="12"/>
        <v>0.7532490379329303</v>
      </c>
    </row>
    <row r="144" spans="2:19" x14ac:dyDescent="0.35">
      <c r="B144" s="4"/>
      <c r="D144" s="26"/>
      <c r="E144" s="26"/>
      <c r="F144" s="29"/>
      <c r="H144" s="4">
        <f t="shared" si="11"/>
        <v>1</v>
      </c>
      <c r="I144">
        <f t="shared" si="13"/>
        <v>116</v>
      </c>
      <c r="J144" s="26">
        <f t="shared" si="14"/>
        <v>7.9164376030786091E-2</v>
      </c>
      <c r="K144" s="25">
        <f t="shared" si="15"/>
        <v>13.63764705882353</v>
      </c>
      <c r="L144" s="27">
        <f t="shared" si="12"/>
        <v>0.75764705882352945</v>
      </c>
    </row>
    <row r="145" spans="2:12" x14ac:dyDescent="0.35">
      <c r="B145" s="4"/>
      <c r="D145" s="26"/>
      <c r="E145" s="26"/>
      <c r="F145" s="29"/>
      <c r="H145" s="4">
        <f t="shared" si="11"/>
        <v>1</v>
      </c>
      <c r="I145">
        <f t="shared" si="13"/>
        <v>117</v>
      </c>
      <c r="J145" s="26">
        <f t="shared" si="14"/>
        <v>7.7976910390324283E-2</v>
      </c>
      <c r="K145" s="25">
        <f t="shared" si="15"/>
        <v>13.716811434854316</v>
      </c>
      <c r="L145" s="27">
        <f t="shared" si="12"/>
        <v>0.76204507971412871</v>
      </c>
    </row>
    <row r="146" spans="2:12" x14ac:dyDescent="0.35">
      <c r="B146" s="4"/>
      <c r="D146" s="26"/>
      <c r="E146" s="26"/>
      <c r="F146" s="29"/>
      <c r="H146" s="4">
        <f t="shared" si="11"/>
        <v>1</v>
      </c>
      <c r="I146">
        <f t="shared" si="13"/>
        <v>118</v>
      </c>
      <c r="J146" s="26">
        <f t="shared" si="14"/>
        <v>7.7976910390324283E-2</v>
      </c>
      <c r="K146" s="25">
        <f t="shared" si="15"/>
        <v>13.79478834524464</v>
      </c>
      <c r="L146" s="27">
        <f t="shared" si="12"/>
        <v>0.76637713029136889</v>
      </c>
    </row>
    <row r="147" spans="2:12" x14ac:dyDescent="0.35">
      <c r="B147" s="4"/>
      <c r="D147" s="26"/>
      <c r="E147" s="26"/>
      <c r="F147" s="29"/>
      <c r="H147" s="4">
        <f t="shared" si="11"/>
        <v>1</v>
      </c>
      <c r="I147">
        <f t="shared" si="13"/>
        <v>119</v>
      </c>
      <c r="J147" s="26">
        <f t="shared" si="14"/>
        <v>7.6789444749862518E-2</v>
      </c>
      <c r="K147" s="25">
        <f t="shared" si="15"/>
        <v>13.872765255634965</v>
      </c>
      <c r="L147" s="27">
        <f t="shared" si="12"/>
        <v>0.77070918086860918</v>
      </c>
    </row>
    <row r="148" spans="2:12" x14ac:dyDescent="0.35">
      <c r="B148" s="4"/>
      <c r="D148" s="26"/>
      <c r="E148" s="26"/>
      <c r="F148" s="29"/>
      <c r="H148" s="4">
        <f t="shared" si="11"/>
        <v>1</v>
      </c>
      <c r="I148">
        <f t="shared" si="13"/>
        <v>120</v>
      </c>
      <c r="J148" s="26">
        <f t="shared" si="14"/>
        <v>7.6789444749862518E-2</v>
      </c>
      <c r="K148" s="25">
        <f t="shared" si="15"/>
        <v>13.949554700384828</v>
      </c>
      <c r="L148" s="27">
        <f t="shared" si="12"/>
        <v>0.77497526113249049</v>
      </c>
    </row>
    <row r="149" spans="2:12" x14ac:dyDescent="0.35">
      <c r="B149" s="4"/>
      <c r="D149" s="26"/>
      <c r="E149" s="26"/>
      <c r="F149" s="29"/>
      <c r="H149" s="4">
        <f t="shared" si="11"/>
        <v>1</v>
      </c>
      <c r="I149">
        <f t="shared" si="13"/>
        <v>121</v>
      </c>
      <c r="J149" s="26">
        <f t="shared" si="14"/>
        <v>7.6789444749862518E-2</v>
      </c>
      <c r="K149" s="25">
        <f t="shared" si="15"/>
        <v>14.026344145134692</v>
      </c>
      <c r="L149" s="27">
        <f t="shared" si="12"/>
        <v>0.7792413413963718</v>
      </c>
    </row>
    <row r="150" spans="2:12" x14ac:dyDescent="0.35">
      <c r="B150" s="4"/>
      <c r="D150" s="26"/>
      <c r="E150" s="26"/>
      <c r="F150" s="29"/>
      <c r="H150" s="4">
        <f t="shared" si="11"/>
        <v>1</v>
      </c>
      <c r="I150">
        <f t="shared" si="13"/>
        <v>122</v>
      </c>
      <c r="J150" s="26">
        <f t="shared" si="14"/>
        <v>7.5601979109400724E-2</v>
      </c>
      <c r="K150" s="25">
        <f t="shared" si="15"/>
        <v>14.103133589884555</v>
      </c>
      <c r="L150" s="27">
        <f t="shared" si="12"/>
        <v>0.78350742166025311</v>
      </c>
    </row>
    <row r="151" spans="2:12" x14ac:dyDescent="0.35">
      <c r="B151" s="4"/>
      <c r="D151" s="26"/>
      <c r="E151" s="26"/>
      <c r="F151" s="29"/>
      <c r="H151" s="4">
        <f t="shared" si="11"/>
        <v>1</v>
      </c>
      <c r="I151">
        <f t="shared" si="13"/>
        <v>123</v>
      </c>
      <c r="J151" s="26">
        <f t="shared" si="14"/>
        <v>7.5601979109400724E-2</v>
      </c>
      <c r="K151" s="25">
        <f t="shared" si="15"/>
        <v>14.178735568993956</v>
      </c>
      <c r="L151" s="27">
        <f t="shared" si="12"/>
        <v>0.78770753161077534</v>
      </c>
    </row>
    <row r="152" spans="2:12" x14ac:dyDescent="0.35">
      <c r="B152" s="4"/>
      <c r="D152" s="26"/>
      <c r="E152" s="26"/>
      <c r="F152" s="29"/>
      <c r="H152" s="4">
        <f t="shared" si="11"/>
        <v>1</v>
      </c>
      <c r="I152">
        <f t="shared" si="13"/>
        <v>124</v>
      </c>
      <c r="J152" s="26">
        <f t="shared" si="14"/>
        <v>7.4414513468938917E-2</v>
      </c>
      <c r="K152" s="25">
        <f t="shared" si="15"/>
        <v>14.254337548103356</v>
      </c>
      <c r="L152" s="27">
        <f t="shared" si="12"/>
        <v>0.79190764156129756</v>
      </c>
    </row>
    <row r="153" spans="2:12" x14ac:dyDescent="0.35">
      <c r="B153" s="4"/>
      <c r="D153" s="26"/>
      <c r="E153" s="26"/>
      <c r="F153" s="29"/>
      <c r="H153" s="4">
        <f t="shared" si="11"/>
        <v>1</v>
      </c>
      <c r="I153">
        <f t="shared" si="13"/>
        <v>125</v>
      </c>
      <c r="J153" s="26">
        <f t="shared" si="14"/>
        <v>7.4414513468938917E-2</v>
      </c>
      <c r="K153" s="25">
        <f t="shared" si="15"/>
        <v>14.328752061572295</v>
      </c>
      <c r="L153" s="27">
        <f t="shared" si="12"/>
        <v>0.79604178119846081</v>
      </c>
    </row>
    <row r="154" spans="2:12" x14ac:dyDescent="0.35">
      <c r="B154" s="4"/>
      <c r="D154" s="26"/>
      <c r="E154" s="26"/>
      <c r="F154" s="29"/>
      <c r="H154" s="4">
        <f>IF(L154&lt;1,1,0)</f>
        <v>1</v>
      </c>
      <c r="I154">
        <f t="shared" si="13"/>
        <v>126</v>
      </c>
      <c r="J154" s="26">
        <f t="shared" si="14"/>
        <v>7.3227047828477124E-2</v>
      </c>
      <c r="K154" s="25">
        <f t="shared" si="15"/>
        <v>14.403166575041235</v>
      </c>
      <c r="L154" s="27">
        <f t="shared" si="12"/>
        <v>0.80017592083562417</v>
      </c>
    </row>
    <row r="155" spans="2:12" x14ac:dyDescent="0.35">
      <c r="B155" s="4"/>
      <c r="D155" s="26"/>
      <c r="E155" s="26"/>
      <c r="F155" s="29"/>
      <c r="H155" s="4">
        <f t="shared" ref="H155:H216" si="18">IF(L155&lt;1,1,0)</f>
        <v>1</v>
      </c>
      <c r="I155">
        <f t="shared" si="13"/>
        <v>127</v>
      </c>
      <c r="J155" s="26">
        <f t="shared" si="14"/>
        <v>7.3227047828477124E-2</v>
      </c>
      <c r="K155" s="25">
        <f t="shared" si="15"/>
        <v>14.476393622869711</v>
      </c>
      <c r="L155" s="27">
        <f t="shared" si="12"/>
        <v>0.80424409015942844</v>
      </c>
    </row>
    <row r="156" spans="2:12" x14ac:dyDescent="0.35">
      <c r="B156" s="4"/>
      <c r="D156" s="26"/>
      <c r="E156" s="26"/>
      <c r="F156" s="29"/>
      <c r="H156" s="4">
        <f t="shared" si="18"/>
        <v>1</v>
      </c>
      <c r="I156">
        <f t="shared" si="13"/>
        <v>128</v>
      </c>
      <c r="J156" s="26">
        <f t="shared" si="14"/>
        <v>7.3227047828477124E-2</v>
      </c>
      <c r="K156" s="25">
        <f t="shared" si="15"/>
        <v>14.549620670698188</v>
      </c>
      <c r="L156" s="27">
        <f t="shared" si="12"/>
        <v>0.8083122594832326</v>
      </c>
    </row>
    <row r="157" spans="2:12" x14ac:dyDescent="0.35">
      <c r="B157" s="4"/>
      <c r="D157" s="26"/>
      <c r="E157" s="26"/>
      <c r="F157" s="29"/>
      <c r="H157" s="4">
        <f t="shared" si="18"/>
        <v>1</v>
      </c>
      <c r="I157">
        <f t="shared" si="13"/>
        <v>129</v>
      </c>
      <c r="J157" s="26">
        <f t="shared" si="14"/>
        <v>7.203958218801533E-2</v>
      </c>
      <c r="K157" s="25">
        <f t="shared" si="15"/>
        <v>14.622847718526664</v>
      </c>
      <c r="L157" s="27">
        <f t="shared" si="12"/>
        <v>0.81238042880703687</v>
      </c>
    </row>
    <row r="158" spans="2:12" x14ac:dyDescent="0.35">
      <c r="B158" s="4"/>
      <c r="D158" s="26"/>
      <c r="E158" s="26"/>
      <c r="F158" s="29"/>
      <c r="H158" s="4">
        <f t="shared" si="18"/>
        <v>1</v>
      </c>
      <c r="I158">
        <f t="shared" si="13"/>
        <v>130</v>
      </c>
      <c r="J158" s="26">
        <f t="shared" si="14"/>
        <v>7.203958218801533E-2</v>
      </c>
      <c r="K158" s="25">
        <f t="shared" si="15"/>
        <v>14.694887300714679</v>
      </c>
      <c r="L158" s="27">
        <f t="shared" ref="L158:L216" si="19">+K158/$D$4</f>
        <v>0.81638262781748216</v>
      </c>
    </row>
    <row r="159" spans="2:12" x14ac:dyDescent="0.35">
      <c r="B159" s="4"/>
      <c r="D159" s="26"/>
      <c r="E159" s="26"/>
      <c r="F159" s="29"/>
      <c r="H159" s="4">
        <f t="shared" si="18"/>
        <v>1</v>
      </c>
      <c r="I159">
        <f t="shared" ref="I159:I216" si="20">+IF(H159,I158+1,0)</f>
        <v>131</v>
      </c>
      <c r="J159" s="26">
        <f t="shared" ref="J159:J216" si="21">+$D$5*VLOOKUP(L159,$Q$30:$S$130,2,1)</f>
        <v>7.0852116547553537E-2</v>
      </c>
      <c r="K159" s="25">
        <f t="shared" ref="K159:K216" si="22">+K158+J158</f>
        <v>14.766926882902695</v>
      </c>
      <c r="L159" s="27">
        <f t="shared" si="19"/>
        <v>0.82038482682792746</v>
      </c>
    </row>
    <row r="160" spans="2:12" x14ac:dyDescent="0.35">
      <c r="B160" s="4"/>
      <c r="D160" s="26"/>
      <c r="E160" s="26"/>
      <c r="F160" s="29"/>
      <c r="H160" s="4">
        <f t="shared" si="18"/>
        <v>1</v>
      </c>
      <c r="I160">
        <f t="shared" si="20"/>
        <v>132</v>
      </c>
      <c r="J160" s="26">
        <f t="shared" si="21"/>
        <v>7.0852116547553537E-2</v>
      </c>
      <c r="K160" s="25">
        <f t="shared" si="22"/>
        <v>14.837778999450249</v>
      </c>
      <c r="L160" s="27">
        <f t="shared" si="19"/>
        <v>0.82432105552501378</v>
      </c>
    </row>
    <row r="161" spans="2:12" x14ac:dyDescent="0.35">
      <c r="B161" s="4"/>
      <c r="D161" s="26"/>
      <c r="E161" s="26"/>
      <c r="F161" s="29"/>
      <c r="H161" s="4">
        <f t="shared" si="18"/>
        <v>1</v>
      </c>
      <c r="I161">
        <f t="shared" si="20"/>
        <v>133</v>
      </c>
      <c r="J161" s="26">
        <f t="shared" si="21"/>
        <v>7.0852116547553537E-2</v>
      </c>
      <c r="K161" s="25">
        <f t="shared" si="22"/>
        <v>14.908631115997803</v>
      </c>
      <c r="L161" s="27">
        <f t="shared" si="19"/>
        <v>0.82825728422210021</v>
      </c>
    </row>
    <row r="162" spans="2:12" x14ac:dyDescent="0.35">
      <c r="B162" s="4"/>
      <c r="D162" s="26"/>
      <c r="E162" s="26"/>
      <c r="F162" s="29"/>
      <c r="H162" s="4">
        <f t="shared" si="18"/>
        <v>1</v>
      </c>
      <c r="I162">
        <f t="shared" si="20"/>
        <v>134</v>
      </c>
      <c r="J162" s="26">
        <f t="shared" si="21"/>
        <v>6.9664650907091744E-2</v>
      </c>
      <c r="K162" s="25">
        <f t="shared" si="22"/>
        <v>14.979483232545357</v>
      </c>
      <c r="L162" s="27">
        <f t="shared" si="19"/>
        <v>0.83219351291918653</v>
      </c>
    </row>
    <row r="163" spans="2:12" x14ac:dyDescent="0.35">
      <c r="B163" s="4"/>
      <c r="D163" s="26"/>
      <c r="E163" s="26"/>
      <c r="F163" s="29"/>
      <c r="H163" s="4">
        <f t="shared" si="18"/>
        <v>1</v>
      </c>
      <c r="I163">
        <f t="shared" si="20"/>
        <v>135</v>
      </c>
      <c r="J163" s="26">
        <f t="shared" si="21"/>
        <v>6.9664650907091744E-2</v>
      </c>
      <c r="K163" s="25">
        <f t="shared" si="22"/>
        <v>15.049147883452449</v>
      </c>
      <c r="L163" s="27">
        <f t="shared" si="19"/>
        <v>0.83606377130291376</v>
      </c>
    </row>
    <row r="164" spans="2:12" x14ac:dyDescent="0.35">
      <c r="B164" s="4"/>
      <c r="D164" s="26"/>
      <c r="E164" s="26"/>
      <c r="F164" s="29"/>
      <c r="H164" s="4">
        <f t="shared" si="18"/>
        <v>1</v>
      </c>
      <c r="I164">
        <f t="shared" si="20"/>
        <v>136</v>
      </c>
      <c r="J164" s="26">
        <f t="shared" si="21"/>
        <v>6.9664650907091744E-2</v>
      </c>
      <c r="K164" s="25">
        <f t="shared" si="22"/>
        <v>15.11881253435954</v>
      </c>
      <c r="L164" s="27">
        <f t="shared" si="19"/>
        <v>0.8399340296866411</v>
      </c>
    </row>
    <row r="165" spans="2:12" x14ac:dyDescent="0.35">
      <c r="B165" s="4"/>
      <c r="D165" s="26"/>
      <c r="E165" s="26"/>
      <c r="F165" s="29"/>
      <c r="H165" s="4">
        <f t="shared" si="18"/>
        <v>1</v>
      </c>
      <c r="I165">
        <f t="shared" si="20"/>
        <v>137</v>
      </c>
      <c r="J165" s="26">
        <f t="shared" si="21"/>
        <v>6.847718526662995E-2</v>
      </c>
      <c r="K165" s="25">
        <f t="shared" si="22"/>
        <v>15.188477185266631</v>
      </c>
      <c r="L165" s="27">
        <f t="shared" si="19"/>
        <v>0.84380428807036845</v>
      </c>
    </row>
    <row r="166" spans="2:12" x14ac:dyDescent="0.35">
      <c r="B166" s="4"/>
      <c r="D166" s="26"/>
      <c r="E166" s="26"/>
      <c r="F166" s="29"/>
      <c r="H166" s="4">
        <f t="shared" si="18"/>
        <v>1</v>
      </c>
      <c r="I166">
        <f t="shared" si="20"/>
        <v>138</v>
      </c>
      <c r="J166" s="26">
        <f t="shared" si="21"/>
        <v>6.847718526662995E-2</v>
      </c>
      <c r="K166" s="25">
        <f t="shared" si="22"/>
        <v>15.256954370533261</v>
      </c>
      <c r="L166" s="27">
        <f t="shared" si="19"/>
        <v>0.8476085761407367</v>
      </c>
    </row>
    <row r="167" spans="2:12" x14ac:dyDescent="0.35">
      <c r="B167" s="4"/>
      <c r="D167" s="26"/>
      <c r="E167" s="26"/>
      <c r="F167" s="29"/>
      <c r="H167" s="4">
        <f t="shared" si="18"/>
        <v>1</v>
      </c>
      <c r="I167">
        <f t="shared" si="20"/>
        <v>139</v>
      </c>
      <c r="J167" s="26">
        <f t="shared" si="21"/>
        <v>6.7289719626168129E-2</v>
      </c>
      <c r="K167" s="25">
        <f t="shared" si="22"/>
        <v>15.325431555799891</v>
      </c>
      <c r="L167" s="27">
        <f t="shared" si="19"/>
        <v>0.85141286421110507</v>
      </c>
    </row>
    <row r="168" spans="2:12" x14ac:dyDescent="0.35">
      <c r="B168" s="4"/>
      <c r="D168" s="26"/>
      <c r="E168" s="26"/>
      <c r="F168" s="29"/>
      <c r="H168" s="4">
        <f t="shared" si="18"/>
        <v>1</v>
      </c>
      <c r="I168">
        <f t="shared" si="20"/>
        <v>140</v>
      </c>
      <c r="J168" s="26">
        <f t="shared" si="21"/>
        <v>6.7289719626168129E-2</v>
      </c>
      <c r="K168" s="25">
        <f t="shared" si="22"/>
        <v>15.392721275426059</v>
      </c>
      <c r="L168" s="27">
        <f t="shared" si="19"/>
        <v>0.85515118196811435</v>
      </c>
    </row>
    <row r="169" spans="2:12" x14ac:dyDescent="0.35">
      <c r="B169" s="4"/>
      <c r="D169" s="26"/>
      <c r="E169" s="26"/>
      <c r="F169" s="29"/>
      <c r="H169" s="4">
        <f t="shared" si="18"/>
        <v>1</v>
      </c>
      <c r="I169">
        <f t="shared" si="20"/>
        <v>141</v>
      </c>
      <c r="J169" s="26">
        <f t="shared" si="21"/>
        <v>6.7289719626168129E-2</v>
      </c>
      <c r="K169" s="25">
        <f t="shared" si="22"/>
        <v>15.460010995052226</v>
      </c>
      <c r="L169" s="27">
        <f t="shared" si="19"/>
        <v>0.85888949972512363</v>
      </c>
    </row>
    <row r="170" spans="2:12" x14ac:dyDescent="0.35">
      <c r="B170" s="4"/>
      <c r="D170" s="26"/>
      <c r="E170" s="26"/>
      <c r="F170" s="29"/>
      <c r="H170" s="4">
        <f t="shared" si="18"/>
        <v>1</v>
      </c>
      <c r="I170">
        <f t="shared" si="20"/>
        <v>142</v>
      </c>
      <c r="J170" s="26">
        <f t="shared" si="21"/>
        <v>6.5607476635513917E-2</v>
      </c>
      <c r="K170" s="25">
        <f t="shared" si="22"/>
        <v>15.527300714678393</v>
      </c>
      <c r="L170" s="27">
        <f t="shared" si="19"/>
        <v>0.86262781748213291</v>
      </c>
    </row>
    <row r="171" spans="2:12" x14ac:dyDescent="0.35">
      <c r="B171" s="4"/>
      <c r="D171" s="26"/>
      <c r="E171" s="26"/>
      <c r="F171" s="29"/>
      <c r="H171" s="4">
        <f t="shared" si="18"/>
        <v>1</v>
      </c>
      <c r="I171">
        <f t="shared" si="20"/>
        <v>143</v>
      </c>
      <c r="J171" s="26">
        <f t="shared" si="21"/>
        <v>6.5607476635513917E-2</v>
      </c>
      <c r="K171" s="25">
        <f t="shared" si="22"/>
        <v>15.592908191313906</v>
      </c>
      <c r="L171" s="27">
        <f t="shared" si="19"/>
        <v>0.86627267729521706</v>
      </c>
    </row>
    <row r="172" spans="2:12" x14ac:dyDescent="0.35">
      <c r="B172" s="4"/>
      <c r="D172" s="26"/>
      <c r="E172" s="26"/>
      <c r="F172" s="29"/>
      <c r="H172" s="4">
        <f t="shared" si="18"/>
        <v>1</v>
      </c>
      <c r="I172">
        <f t="shared" si="20"/>
        <v>144</v>
      </c>
      <c r="J172" s="26">
        <f t="shared" si="21"/>
        <v>6.5607476635513917E-2</v>
      </c>
      <c r="K172" s="25">
        <f t="shared" si="22"/>
        <v>15.65851566794942</v>
      </c>
      <c r="L172" s="27">
        <f t="shared" si="19"/>
        <v>0.86991753710830111</v>
      </c>
    </row>
    <row r="173" spans="2:12" x14ac:dyDescent="0.35">
      <c r="B173" s="4"/>
      <c r="D173" s="26"/>
      <c r="E173" s="26"/>
      <c r="F173" s="29"/>
      <c r="H173" s="4">
        <f t="shared" si="18"/>
        <v>1</v>
      </c>
      <c r="I173">
        <f t="shared" si="20"/>
        <v>145</v>
      </c>
      <c r="J173" s="26">
        <f t="shared" si="21"/>
        <v>6.3925233644859719E-2</v>
      </c>
      <c r="K173" s="25">
        <f t="shared" si="22"/>
        <v>15.724123144584933</v>
      </c>
      <c r="L173" s="27">
        <f t="shared" si="19"/>
        <v>0.87356239692138515</v>
      </c>
    </row>
    <row r="174" spans="2:12" x14ac:dyDescent="0.35">
      <c r="B174" s="4"/>
      <c r="D174" s="26"/>
      <c r="E174" s="26"/>
      <c r="F174" s="29"/>
      <c r="H174" s="4">
        <f t="shared" si="18"/>
        <v>1</v>
      </c>
      <c r="I174">
        <f t="shared" si="20"/>
        <v>146</v>
      </c>
      <c r="J174" s="26">
        <f t="shared" si="21"/>
        <v>6.3925233644859719E-2</v>
      </c>
      <c r="K174" s="25">
        <f t="shared" si="22"/>
        <v>15.788048378229792</v>
      </c>
      <c r="L174" s="27">
        <f t="shared" si="19"/>
        <v>0.87711379879054396</v>
      </c>
    </row>
    <row r="175" spans="2:12" x14ac:dyDescent="0.35">
      <c r="B175" s="4"/>
      <c r="D175" s="26"/>
      <c r="E175" s="26"/>
      <c r="F175" s="29"/>
      <c r="H175" s="4">
        <f t="shared" si="18"/>
        <v>1</v>
      </c>
      <c r="I175">
        <f t="shared" si="20"/>
        <v>147</v>
      </c>
      <c r="J175" s="26">
        <f t="shared" si="21"/>
        <v>6.2242990654205507E-2</v>
      </c>
      <c r="K175" s="25">
        <f t="shared" si="22"/>
        <v>15.851973611874651</v>
      </c>
      <c r="L175" s="27">
        <f t="shared" si="19"/>
        <v>0.88066520065970288</v>
      </c>
    </row>
    <row r="176" spans="2:12" x14ac:dyDescent="0.35">
      <c r="B176" s="4"/>
      <c r="D176" s="26"/>
      <c r="E176" s="26"/>
      <c r="F176" s="29"/>
      <c r="H176" s="4">
        <f t="shared" si="18"/>
        <v>1</v>
      </c>
      <c r="I176">
        <f t="shared" si="20"/>
        <v>148</v>
      </c>
      <c r="J176" s="26">
        <f t="shared" si="21"/>
        <v>6.2242990654205507E-2</v>
      </c>
      <c r="K176" s="25">
        <f t="shared" si="22"/>
        <v>15.914216602528857</v>
      </c>
      <c r="L176" s="27">
        <f t="shared" si="19"/>
        <v>0.88412314458493646</v>
      </c>
    </row>
    <row r="177" spans="2:12" x14ac:dyDescent="0.35">
      <c r="B177" s="4"/>
      <c r="D177" s="26"/>
      <c r="E177" s="26"/>
      <c r="F177" s="29"/>
      <c r="H177" s="4">
        <f t="shared" si="18"/>
        <v>1</v>
      </c>
      <c r="I177">
        <f t="shared" si="20"/>
        <v>149</v>
      </c>
      <c r="J177" s="26">
        <f t="shared" si="21"/>
        <v>6.2242990654205507E-2</v>
      </c>
      <c r="K177" s="25">
        <f t="shared" si="22"/>
        <v>15.976459593183062</v>
      </c>
      <c r="L177" s="27">
        <f t="shared" si="19"/>
        <v>0.88758108851017015</v>
      </c>
    </row>
    <row r="178" spans="2:12" x14ac:dyDescent="0.35">
      <c r="B178" s="4"/>
      <c r="D178" s="26"/>
      <c r="E178" s="26"/>
      <c r="F178" s="29"/>
      <c r="H178" s="4">
        <f t="shared" si="18"/>
        <v>1</v>
      </c>
      <c r="I178">
        <f t="shared" si="20"/>
        <v>150</v>
      </c>
      <c r="J178" s="26">
        <f t="shared" si="21"/>
        <v>6.0560747663551302E-2</v>
      </c>
      <c r="K178" s="25">
        <f t="shared" si="22"/>
        <v>16.038702583837267</v>
      </c>
      <c r="L178" s="27">
        <f t="shared" si="19"/>
        <v>0.89103903243540372</v>
      </c>
    </row>
    <row r="179" spans="2:12" x14ac:dyDescent="0.35">
      <c r="B179" s="10"/>
      <c r="C179" s="11"/>
      <c r="D179" s="32"/>
      <c r="E179" s="32"/>
      <c r="F179" s="33"/>
      <c r="H179" s="4">
        <f t="shared" si="18"/>
        <v>1</v>
      </c>
      <c r="I179">
        <f t="shared" si="20"/>
        <v>151</v>
      </c>
      <c r="J179" s="26">
        <f t="shared" si="21"/>
        <v>6.0560747663551302E-2</v>
      </c>
      <c r="K179" s="25">
        <f t="shared" si="22"/>
        <v>16.099263331500818</v>
      </c>
      <c r="L179" s="27">
        <f t="shared" si="19"/>
        <v>0.89440351841671217</v>
      </c>
    </row>
    <row r="180" spans="2:12" x14ac:dyDescent="0.35">
      <c r="D180" s="26"/>
      <c r="E180" s="26"/>
      <c r="F180" s="34"/>
      <c r="H180" s="4">
        <f t="shared" si="18"/>
        <v>1</v>
      </c>
      <c r="I180">
        <f t="shared" si="20"/>
        <v>152</v>
      </c>
      <c r="J180" s="26">
        <f t="shared" si="21"/>
        <v>6.0560747663551302E-2</v>
      </c>
      <c r="K180" s="25">
        <f t="shared" si="22"/>
        <v>16.15982407916437</v>
      </c>
      <c r="L180" s="27">
        <f t="shared" si="19"/>
        <v>0.89776800439802051</v>
      </c>
    </row>
    <row r="181" spans="2:12" x14ac:dyDescent="0.35">
      <c r="D181" s="26"/>
      <c r="E181" s="26"/>
      <c r="F181" s="34"/>
      <c r="H181" s="4">
        <f t="shared" si="18"/>
        <v>1</v>
      </c>
      <c r="I181">
        <f t="shared" si="20"/>
        <v>153</v>
      </c>
      <c r="J181" s="26">
        <f t="shared" si="21"/>
        <v>5.8878504672897097E-2</v>
      </c>
      <c r="K181" s="25">
        <f t="shared" si="22"/>
        <v>16.220384826827921</v>
      </c>
      <c r="L181" s="27">
        <f t="shared" si="19"/>
        <v>0.90113249037932897</v>
      </c>
    </row>
    <row r="182" spans="2:12" x14ac:dyDescent="0.35">
      <c r="D182" s="26"/>
      <c r="E182" s="26"/>
      <c r="F182" s="34"/>
      <c r="H182" s="4">
        <f t="shared" si="18"/>
        <v>1</v>
      </c>
      <c r="I182">
        <f t="shared" si="20"/>
        <v>154</v>
      </c>
      <c r="J182" s="26">
        <f t="shared" si="21"/>
        <v>5.8878504672897097E-2</v>
      </c>
      <c r="K182" s="25">
        <f t="shared" si="22"/>
        <v>16.279263331500818</v>
      </c>
      <c r="L182" s="27">
        <f t="shared" si="19"/>
        <v>0.90440351841671207</v>
      </c>
    </row>
    <row r="183" spans="2:12" x14ac:dyDescent="0.35">
      <c r="D183" s="26"/>
      <c r="E183" s="26"/>
      <c r="F183" s="34"/>
      <c r="H183" s="4">
        <f t="shared" si="18"/>
        <v>1</v>
      </c>
      <c r="I183">
        <f t="shared" si="20"/>
        <v>155</v>
      </c>
      <c r="J183" s="26">
        <f t="shared" si="21"/>
        <v>5.8878504672897097E-2</v>
      </c>
      <c r="K183" s="25">
        <f t="shared" si="22"/>
        <v>16.338141836173715</v>
      </c>
      <c r="L183" s="27">
        <f t="shared" si="19"/>
        <v>0.90767454645409529</v>
      </c>
    </row>
    <row r="184" spans="2:12" x14ac:dyDescent="0.35">
      <c r="D184" s="26"/>
      <c r="E184" s="26"/>
      <c r="F184" s="34"/>
      <c r="H184" s="4">
        <f t="shared" si="18"/>
        <v>1</v>
      </c>
      <c r="I184">
        <f t="shared" si="20"/>
        <v>156</v>
      </c>
      <c r="J184" s="26">
        <f t="shared" si="21"/>
        <v>5.7196261682242892E-2</v>
      </c>
      <c r="K184" s="25">
        <f t="shared" si="22"/>
        <v>16.397020340846613</v>
      </c>
      <c r="L184" s="27">
        <f t="shared" si="19"/>
        <v>0.9109455744914785</v>
      </c>
    </row>
    <row r="185" spans="2:12" x14ac:dyDescent="0.35">
      <c r="D185" s="26"/>
      <c r="E185" s="26"/>
      <c r="F185" s="34"/>
      <c r="H185" s="4">
        <f t="shared" si="18"/>
        <v>1</v>
      </c>
      <c r="I185">
        <f t="shared" si="20"/>
        <v>157</v>
      </c>
      <c r="J185" s="26">
        <f t="shared" si="21"/>
        <v>5.7196261682242892E-2</v>
      </c>
      <c r="K185" s="25">
        <f t="shared" si="22"/>
        <v>16.454216602528856</v>
      </c>
      <c r="L185" s="27">
        <f t="shared" si="19"/>
        <v>0.91412314458493649</v>
      </c>
    </row>
    <row r="186" spans="2:12" x14ac:dyDescent="0.35">
      <c r="D186" s="26"/>
      <c r="E186" s="26"/>
      <c r="F186" s="34"/>
      <c r="H186" s="4">
        <f t="shared" si="18"/>
        <v>1</v>
      </c>
      <c r="I186">
        <f t="shared" si="20"/>
        <v>158</v>
      </c>
      <c r="J186" s="26">
        <f t="shared" si="21"/>
        <v>5.7196261682242892E-2</v>
      </c>
      <c r="K186" s="25">
        <f t="shared" si="22"/>
        <v>16.511412864211099</v>
      </c>
      <c r="L186" s="27">
        <f t="shared" si="19"/>
        <v>0.91730071467839436</v>
      </c>
    </row>
    <row r="187" spans="2:12" x14ac:dyDescent="0.35">
      <c r="D187" s="26"/>
      <c r="E187" s="26"/>
      <c r="F187" s="34"/>
      <c r="H187" s="4">
        <f t="shared" si="18"/>
        <v>1</v>
      </c>
      <c r="I187">
        <f t="shared" si="20"/>
        <v>159</v>
      </c>
      <c r="J187" s="26">
        <f t="shared" si="21"/>
        <v>5.551401869158868E-2</v>
      </c>
      <c r="K187" s="25">
        <f t="shared" si="22"/>
        <v>16.568609125893342</v>
      </c>
      <c r="L187" s="27">
        <f t="shared" si="19"/>
        <v>0.92047828477185234</v>
      </c>
    </row>
    <row r="188" spans="2:12" x14ac:dyDescent="0.35">
      <c r="D188" s="26"/>
      <c r="E188" s="26"/>
      <c r="F188" s="34"/>
      <c r="H188" s="4">
        <f t="shared" si="18"/>
        <v>1</v>
      </c>
      <c r="I188">
        <f t="shared" si="20"/>
        <v>160</v>
      </c>
      <c r="J188" s="26">
        <f t="shared" si="21"/>
        <v>5.551401869158868E-2</v>
      </c>
      <c r="K188" s="25">
        <f t="shared" si="22"/>
        <v>16.624123144584932</v>
      </c>
      <c r="L188" s="27">
        <f t="shared" si="19"/>
        <v>0.92356239692138509</v>
      </c>
    </row>
    <row r="189" spans="2:12" x14ac:dyDescent="0.35">
      <c r="D189" s="26"/>
      <c r="E189" s="26"/>
      <c r="F189" s="34"/>
      <c r="H189" s="4">
        <f t="shared" si="18"/>
        <v>1</v>
      </c>
      <c r="I189">
        <f t="shared" si="20"/>
        <v>161</v>
      </c>
      <c r="J189" s="26">
        <f t="shared" si="21"/>
        <v>5.551401869158868E-2</v>
      </c>
      <c r="K189" s="25">
        <f t="shared" si="22"/>
        <v>16.679637163276521</v>
      </c>
      <c r="L189" s="27">
        <f t="shared" si="19"/>
        <v>0.92664650907091783</v>
      </c>
    </row>
    <row r="190" spans="2:12" x14ac:dyDescent="0.35">
      <c r="D190" s="26"/>
      <c r="E190" s="26"/>
      <c r="F190" s="34"/>
      <c r="H190" s="4">
        <f t="shared" si="18"/>
        <v>1</v>
      </c>
      <c r="I190">
        <f t="shared" si="20"/>
        <v>162</v>
      </c>
      <c r="J190" s="26">
        <f t="shared" si="21"/>
        <v>5.551401869158868E-2</v>
      </c>
      <c r="K190" s="25">
        <f t="shared" si="22"/>
        <v>16.73515118196811</v>
      </c>
      <c r="L190" s="27">
        <f t="shared" si="19"/>
        <v>0.92973062122045058</v>
      </c>
    </row>
    <row r="191" spans="2:12" x14ac:dyDescent="0.35">
      <c r="D191" s="26"/>
      <c r="E191" s="26"/>
      <c r="F191" s="34"/>
      <c r="H191" s="4">
        <f t="shared" si="18"/>
        <v>1</v>
      </c>
      <c r="I191">
        <f t="shared" si="20"/>
        <v>163</v>
      </c>
      <c r="J191" s="26">
        <f t="shared" si="21"/>
        <v>5.3831775700934476E-2</v>
      </c>
      <c r="K191" s="25">
        <f t="shared" si="22"/>
        <v>16.790665200659699</v>
      </c>
      <c r="L191" s="27">
        <f t="shared" si="19"/>
        <v>0.93281473336998333</v>
      </c>
    </row>
    <row r="192" spans="2:12" x14ac:dyDescent="0.35">
      <c r="D192" s="26"/>
      <c r="E192" s="26"/>
      <c r="F192" s="34"/>
      <c r="H192" s="4">
        <f t="shared" si="18"/>
        <v>1</v>
      </c>
      <c r="I192">
        <f t="shared" si="20"/>
        <v>164</v>
      </c>
      <c r="J192" s="26">
        <f t="shared" si="21"/>
        <v>5.3831775700934476E-2</v>
      </c>
      <c r="K192" s="25">
        <f t="shared" si="22"/>
        <v>16.844496976360634</v>
      </c>
      <c r="L192" s="27">
        <f t="shared" si="19"/>
        <v>0.93580538757559084</v>
      </c>
    </row>
    <row r="193" spans="4:12" x14ac:dyDescent="0.35">
      <c r="D193" s="26"/>
      <c r="E193" s="26"/>
      <c r="F193" s="34"/>
      <c r="H193" s="4">
        <f t="shared" si="18"/>
        <v>1</v>
      </c>
      <c r="I193">
        <f t="shared" si="20"/>
        <v>165</v>
      </c>
      <c r="J193" s="26">
        <f t="shared" si="21"/>
        <v>5.3831775700934476E-2</v>
      </c>
      <c r="K193" s="25">
        <f t="shared" si="22"/>
        <v>16.89832875206157</v>
      </c>
      <c r="L193" s="27">
        <f t="shared" si="19"/>
        <v>0.93879604178119835</v>
      </c>
    </row>
    <row r="194" spans="4:12" x14ac:dyDescent="0.35">
      <c r="D194" s="26"/>
      <c r="E194" s="26"/>
      <c r="F194" s="34"/>
      <c r="H194" s="4">
        <f t="shared" si="18"/>
        <v>1</v>
      </c>
      <c r="I194">
        <f t="shared" si="20"/>
        <v>166</v>
      </c>
      <c r="J194" s="26">
        <f t="shared" si="21"/>
        <v>5.2149532710280271E-2</v>
      </c>
      <c r="K194" s="25">
        <f t="shared" si="22"/>
        <v>16.952160527762505</v>
      </c>
      <c r="L194" s="27">
        <f t="shared" si="19"/>
        <v>0.94178669598680587</v>
      </c>
    </row>
    <row r="195" spans="4:12" x14ac:dyDescent="0.35">
      <c r="D195" s="26"/>
      <c r="E195" s="26"/>
      <c r="F195" s="34"/>
      <c r="H195" s="4">
        <f t="shared" si="18"/>
        <v>1</v>
      </c>
      <c r="I195">
        <f t="shared" si="20"/>
        <v>167</v>
      </c>
      <c r="J195" s="26">
        <f t="shared" si="21"/>
        <v>5.2149532710280271E-2</v>
      </c>
      <c r="K195" s="25">
        <f t="shared" si="22"/>
        <v>17.004310060472786</v>
      </c>
      <c r="L195" s="27">
        <f t="shared" si="19"/>
        <v>0.94468389224848814</v>
      </c>
    </row>
    <row r="196" spans="4:12" x14ac:dyDescent="0.35">
      <c r="D196" s="26"/>
      <c r="E196" s="26"/>
      <c r="F196" s="34"/>
      <c r="H196" s="4">
        <f t="shared" si="18"/>
        <v>1</v>
      </c>
      <c r="I196">
        <f t="shared" si="20"/>
        <v>168</v>
      </c>
      <c r="J196" s="26">
        <f t="shared" si="21"/>
        <v>5.2149532710280271E-2</v>
      </c>
      <c r="K196" s="25">
        <f t="shared" si="22"/>
        <v>17.056459593183067</v>
      </c>
      <c r="L196" s="27">
        <f t="shared" si="19"/>
        <v>0.94758108851017042</v>
      </c>
    </row>
    <row r="197" spans="4:12" x14ac:dyDescent="0.35">
      <c r="D197" s="26"/>
      <c r="E197" s="26"/>
      <c r="F197" s="34"/>
      <c r="H197" s="4">
        <f t="shared" si="18"/>
        <v>1</v>
      </c>
      <c r="I197">
        <f t="shared" si="20"/>
        <v>169</v>
      </c>
      <c r="J197" s="26">
        <f t="shared" si="21"/>
        <v>5.0467289719626059E-2</v>
      </c>
      <c r="K197" s="25">
        <f t="shared" si="22"/>
        <v>17.108609125893349</v>
      </c>
      <c r="L197" s="27">
        <f t="shared" si="19"/>
        <v>0.9504782847718527</v>
      </c>
    </row>
    <row r="198" spans="4:12" x14ac:dyDescent="0.35">
      <c r="D198" s="26"/>
      <c r="E198" s="26"/>
      <c r="F198" s="34"/>
      <c r="H198" s="4">
        <f t="shared" si="18"/>
        <v>1</v>
      </c>
      <c r="I198">
        <f t="shared" si="20"/>
        <v>170</v>
      </c>
      <c r="J198" s="26">
        <f t="shared" si="21"/>
        <v>5.0467289719626059E-2</v>
      </c>
      <c r="K198" s="25">
        <f t="shared" si="22"/>
        <v>17.159076415612976</v>
      </c>
      <c r="L198" s="27">
        <f t="shared" si="19"/>
        <v>0.95328202308960974</v>
      </c>
    </row>
    <row r="199" spans="4:12" x14ac:dyDescent="0.35">
      <c r="D199" s="26"/>
      <c r="E199" s="26"/>
      <c r="F199" s="34"/>
      <c r="H199" s="4">
        <f t="shared" si="18"/>
        <v>1</v>
      </c>
      <c r="I199">
        <f t="shared" si="20"/>
        <v>171</v>
      </c>
      <c r="J199" s="26">
        <f t="shared" si="21"/>
        <v>5.0467289719626059E-2</v>
      </c>
      <c r="K199" s="25">
        <f t="shared" si="22"/>
        <v>17.209543705332603</v>
      </c>
      <c r="L199" s="27">
        <f t="shared" si="19"/>
        <v>0.95608576140736679</v>
      </c>
    </row>
    <row r="200" spans="4:12" x14ac:dyDescent="0.35">
      <c r="D200" s="26"/>
      <c r="E200" s="26"/>
      <c r="F200" s="34"/>
      <c r="H200" s="4">
        <f t="shared" si="18"/>
        <v>1</v>
      </c>
      <c r="I200">
        <f t="shared" si="20"/>
        <v>172</v>
      </c>
      <c r="J200" s="26">
        <f t="shared" si="21"/>
        <v>5.0467289719626059E-2</v>
      </c>
      <c r="K200" s="25">
        <f t="shared" si="22"/>
        <v>17.26001099505223</v>
      </c>
      <c r="L200" s="27">
        <f t="shared" si="19"/>
        <v>0.95888949972512394</v>
      </c>
    </row>
    <row r="201" spans="4:12" x14ac:dyDescent="0.35">
      <c r="D201" s="26"/>
      <c r="E201" s="26"/>
      <c r="F201" s="34"/>
      <c r="H201" s="4">
        <f t="shared" si="18"/>
        <v>1</v>
      </c>
      <c r="I201">
        <f t="shared" si="20"/>
        <v>173</v>
      </c>
      <c r="J201" s="26">
        <f t="shared" si="21"/>
        <v>4.8785046728971854E-2</v>
      </c>
      <c r="K201" s="25">
        <f t="shared" si="22"/>
        <v>17.310478284771857</v>
      </c>
      <c r="L201" s="27">
        <f t="shared" si="19"/>
        <v>0.96169323804288098</v>
      </c>
    </row>
    <row r="202" spans="4:12" x14ac:dyDescent="0.35">
      <c r="D202" s="26"/>
      <c r="E202" s="26"/>
      <c r="F202" s="34"/>
      <c r="H202" s="4">
        <f t="shared" si="18"/>
        <v>1</v>
      </c>
      <c r="I202">
        <f t="shared" si="20"/>
        <v>174</v>
      </c>
      <c r="J202" s="26">
        <f t="shared" si="21"/>
        <v>4.8785046728971854E-2</v>
      </c>
      <c r="K202" s="25">
        <f t="shared" si="22"/>
        <v>17.359263331500831</v>
      </c>
      <c r="L202" s="27">
        <f t="shared" si="19"/>
        <v>0.96440351841671279</v>
      </c>
    </row>
    <row r="203" spans="4:12" x14ac:dyDescent="0.35">
      <c r="D203" s="26"/>
      <c r="E203" s="26"/>
      <c r="F203" s="34"/>
      <c r="H203" s="4">
        <f t="shared" si="18"/>
        <v>1</v>
      </c>
      <c r="I203">
        <f t="shared" si="20"/>
        <v>175</v>
      </c>
      <c r="J203" s="26">
        <f t="shared" si="21"/>
        <v>4.8785046728971854E-2</v>
      </c>
      <c r="K203" s="25">
        <f t="shared" si="22"/>
        <v>17.408048378229804</v>
      </c>
      <c r="L203" s="27">
        <f t="shared" si="19"/>
        <v>0.96711379879054471</v>
      </c>
    </row>
    <row r="204" spans="4:12" x14ac:dyDescent="0.35">
      <c r="D204" s="26"/>
      <c r="E204" s="26"/>
      <c r="F204" s="34"/>
      <c r="H204" s="4">
        <f t="shared" si="18"/>
        <v>1</v>
      </c>
      <c r="I204">
        <f t="shared" si="20"/>
        <v>176</v>
      </c>
      <c r="J204" s="26">
        <f t="shared" si="21"/>
        <v>4.8785046728971854E-2</v>
      </c>
      <c r="K204" s="25">
        <f t="shared" si="22"/>
        <v>17.456833424958777</v>
      </c>
      <c r="L204" s="27">
        <f t="shared" si="19"/>
        <v>0.96982407916437652</v>
      </c>
    </row>
    <row r="205" spans="4:12" x14ac:dyDescent="0.35">
      <c r="D205" s="26"/>
      <c r="E205" s="26"/>
      <c r="F205" s="34"/>
      <c r="H205" s="4">
        <f t="shared" si="18"/>
        <v>1</v>
      </c>
      <c r="I205">
        <f t="shared" si="20"/>
        <v>177</v>
      </c>
      <c r="J205" s="26">
        <f t="shared" si="21"/>
        <v>4.7102803738317649E-2</v>
      </c>
      <c r="K205" s="25">
        <f t="shared" si="22"/>
        <v>17.50561847168775</v>
      </c>
      <c r="L205" s="27">
        <f t="shared" si="19"/>
        <v>0.97253435953820833</v>
      </c>
    </row>
    <row r="206" spans="4:12" x14ac:dyDescent="0.35">
      <c r="D206" s="26"/>
      <c r="E206" s="26"/>
      <c r="F206" s="34"/>
      <c r="H206" s="4">
        <f t="shared" si="18"/>
        <v>1</v>
      </c>
      <c r="I206">
        <f t="shared" si="20"/>
        <v>178</v>
      </c>
      <c r="J206" s="26">
        <f t="shared" si="21"/>
        <v>4.7102803738317649E-2</v>
      </c>
      <c r="K206" s="25">
        <f t="shared" si="22"/>
        <v>17.55272127542607</v>
      </c>
      <c r="L206" s="27">
        <f t="shared" si="19"/>
        <v>0.97515118196811501</v>
      </c>
    </row>
    <row r="207" spans="4:12" x14ac:dyDescent="0.35">
      <c r="D207" s="26"/>
      <c r="E207" s="26"/>
      <c r="F207" s="34"/>
      <c r="H207" s="4">
        <f t="shared" si="18"/>
        <v>1</v>
      </c>
      <c r="I207">
        <f t="shared" si="20"/>
        <v>179</v>
      </c>
      <c r="J207" s="26">
        <f t="shared" si="21"/>
        <v>4.7102803738317649E-2</v>
      </c>
      <c r="K207" s="25">
        <f t="shared" si="22"/>
        <v>17.599824079164389</v>
      </c>
      <c r="L207" s="27">
        <f t="shared" si="19"/>
        <v>0.97776800439802158</v>
      </c>
    </row>
    <row r="208" spans="4:12" x14ac:dyDescent="0.35">
      <c r="D208" s="26"/>
      <c r="E208" s="26"/>
      <c r="F208" s="34"/>
      <c r="H208" s="4">
        <f t="shared" si="18"/>
        <v>1</v>
      </c>
      <c r="I208">
        <f t="shared" si="20"/>
        <v>180</v>
      </c>
      <c r="J208" s="26">
        <f t="shared" si="21"/>
        <v>4.5420560747663437E-2</v>
      </c>
      <c r="K208" s="25">
        <f t="shared" si="22"/>
        <v>17.646926882902708</v>
      </c>
      <c r="L208" s="27">
        <f t="shared" si="19"/>
        <v>0.98038482682792827</v>
      </c>
    </row>
    <row r="209" spans="4:12" x14ac:dyDescent="0.35">
      <c r="D209" s="26"/>
      <c r="E209" s="26"/>
      <c r="F209" s="34"/>
      <c r="H209" s="4">
        <f t="shared" si="18"/>
        <v>1</v>
      </c>
      <c r="I209">
        <f t="shared" si="20"/>
        <v>181</v>
      </c>
      <c r="J209" s="26">
        <f t="shared" si="21"/>
        <v>4.5420560747663437E-2</v>
      </c>
      <c r="K209" s="25">
        <f t="shared" si="22"/>
        <v>17.692347443650373</v>
      </c>
      <c r="L209" s="27">
        <f t="shared" si="19"/>
        <v>0.98290819131390961</v>
      </c>
    </row>
    <row r="210" spans="4:12" x14ac:dyDescent="0.35">
      <c r="D210" s="26"/>
      <c r="E210" s="26"/>
      <c r="F210" s="34"/>
      <c r="H210" s="4">
        <f t="shared" si="18"/>
        <v>1</v>
      </c>
      <c r="I210">
        <f t="shared" si="20"/>
        <v>182</v>
      </c>
      <c r="J210" s="26">
        <f t="shared" si="21"/>
        <v>4.5420560747663437E-2</v>
      </c>
      <c r="K210" s="25">
        <f t="shared" si="22"/>
        <v>17.737768004398038</v>
      </c>
      <c r="L210" s="27">
        <f t="shared" si="19"/>
        <v>0.98543155579989106</v>
      </c>
    </row>
    <row r="211" spans="4:12" x14ac:dyDescent="0.35">
      <c r="D211" s="26"/>
      <c r="E211" s="26"/>
      <c r="F211" s="34"/>
      <c r="H211" s="4">
        <f t="shared" si="18"/>
        <v>1</v>
      </c>
      <c r="I211">
        <f t="shared" si="20"/>
        <v>183</v>
      </c>
      <c r="J211" s="26">
        <f t="shared" si="21"/>
        <v>4.5420560747663437E-2</v>
      </c>
      <c r="K211" s="25">
        <f t="shared" si="22"/>
        <v>17.783188565145704</v>
      </c>
      <c r="L211" s="27">
        <f t="shared" si="19"/>
        <v>0.9879549202858724</v>
      </c>
    </row>
    <row r="212" spans="4:12" x14ac:dyDescent="0.35">
      <c r="D212" s="26"/>
      <c r="E212" s="26"/>
      <c r="F212" s="34"/>
      <c r="H212" s="4">
        <f t="shared" si="18"/>
        <v>1</v>
      </c>
      <c r="I212">
        <f t="shared" si="20"/>
        <v>184</v>
      </c>
      <c r="J212" s="26">
        <f t="shared" si="21"/>
        <v>4.3738317757009232E-2</v>
      </c>
      <c r="K212" s="25">
        <f t="shared" si="22"/>
        <v>17.828609125893369</v>
      </c>
      <c r="L212" s="27">
        <f t="shared" si="19"/>
        <v>0.99047828477185385</v>
      </c>
    </row>
    <row r="213" spans="4:12" x14ac:dyDescent="0.35">
      <c r="D213" s="26"/>
      <c r="E213" s="26"/>
      <c r="F213" s="34"/>
      <c r="H213" s="4">
        <f t="shared" si="18"/>
        <v>1</v>
      </c>
      <c r="I213">
        <f t="shared" si="20"/>
        <v>185</v>
      </c>
      <c r="J213" s="26">
        <f t="shared" si="21"/>
        <v>4.3738317757009232E-2</v>
      </c>
      <c r="K213" s="25">
        <f t="shared" si="22"/>
        <v>17.872347443650376</v>
      </c>
      <c r="L213" s="27">
        <f t="shared" si="19"/>
        <v>0.99290819131390984</v>
      </c>
    </row>
    <row r="214" spans="4:12" x14ac:dyDescent="0.35">
      <c r="D214" s="26"/>
      <c r="E214" s="26"/>
      <c r="F214" s="34"/>
      <c r="H214" s="4">
        <f t="shared" si="18"/>
        <v>1</v>
      </c>
      <c r="I214">
        <f t="shared" si="20"/>
        <v>186</v>
      </c>
      <c r="J214" s="26">
        <f t="shared" si="21"/>
        <v>4.3738317757009232E-2</v>
      </c>
      <c r="K214" s="25">
        <f t="shared" si="22"/>
        <v>17.916085761407384</v>
      </c>
      <c r="L214" s="27">
        <f t="shared" si="19"/>
        <v>0.99533809785596583</v>
      </c>
    </row>
    <row r="215" spans="4:12" x14ac:dyDescent="0.35">
      <c r="D215" s="26"/>
      <c r="E215" s="26"/>
      <c r="F215" s="34"/>
      <c r="H215" s="4">
        <f t="shared" si="18"/>
        <v>1</v>
      </c>
      <c r="I215">
        <f t="shared" si="20"/>
        <v>187</v>
      </c>
      <c r="J215" s="26">
        <f t="shared" si="21"/>
        <v>4.3738317757009232E-2</v>
      </c>
      <c r="K215" s="25">
        <f t="shared" si="22"/>
        <v>17.959824079164392</v>
      </c>
      <c r="L215" s="27">
        <f t="shared" si="19"/>
        <v>0.99776800439802171</v>
      </c>
    </row>
    <row r="216" spans="4:12" x14ac:dyDescent="0.35">
      <c r="D216" s="26"/>
      <c r="E216" s="26"/>
      <c r="F216" s="34"/>
      <c r="H216" s="4">
        <f t="shared" si="18"/>
        <v>0</v>
      </c>
      <c r="I216">
        <f t="shared" si="20"/>
        <v>0</v>
      </c>
      <c r="J216" s="26">
        <f t="shared" si="21"/>
        <v>4.2056074766355138E-2</v>
      </c>
      <c r="K216" s="25">
        <f t="shared" si="22"/>
        <v>18.003562396921399</v>
      </c>
      <c r="L216" s="27">
        <f t="shared" si="19"/>
        <v>1.0001979109400778</v>
      </c>
    </row>
    <row r="217" spans="4:12" x14ac:dyDescent="0.35">
      <c r="D217" s="26"/>
      <c r="E217" s="26"/>
      <c r="F217" s="34"/>
      <c r="H217" s="10"/>
      <c r="I217" s="11"/>
      <c r="J217" s="32"/>
      <c r="K217" s="35"/>
      <c r="L217" s="36"/>
    </row>
    <row r="218" spans="4:12" x14ac:dyDescent="0.35">
      <c r="D218" s="26"/>
      <c r="E218" s="26"/>
      <c r="F218" s="34"/>
      <c r="H218" s="4"/>
      <c r="I218">
        <f>+I217+1</f>
        <v>1</v>
      </c>
      <c r="J218" s="26"/>
      <c r="K218" s="25"/>
      <c r="L218" s="27"/>
    </row>
    <row r="219" spans="4:12" x14ac:dyDescent="0.35">
      <c r="D219" s="26"/>
      <c r="E219" s="26"/>
      <c r="F219" s="34"/>
      <c r="H219" s="4"/>
      <c r="I219">
        <f t="shared" ref="I219:I242" si="23">+I218+1</f>
        <v>2</v>
      </c>
      <c r="J219" s="26"/>
      <c r="K219" s="25"/>
      <c r="L219" s="27"/>
    </row>
    <row r="220" spans="4:12" x14ac:dyDescent="0.35">
      <c r="D220" s="26"/>
      <c r="E220" s="26"/>
      <c r="F220" s="34"/>
      <c r="H220" s="4"/>
      <c r="I220">
        <f t="shared" si="23"/>
        <v>3</v>
      </c>
      <c r="J220" s="26"/>
      <c r="K220" s="25"/>
      <c r="L220" s="27"/>
    </row>
    <row r="221" spans="4:12" x14ac:dyDescent="0.35">
      <c r="D221" s="26"/>
      <c r="E221" s="26"/>
      <c r="F221" s="34"/>
      <c r="H221" s="4"/>
      <c r="I221">
        <f t="shared" si="23"/>
        <v>4</v>
      </c>
      <c r="J221" s="26"/>
      <c r="K221" s="25"/>
      <c r="L221" s="27"/>
    </row>
    <row r="222" spans="4:12" x14ac:dyDescent="0.35">
      <c r="D222" s="26"/>
      <c r="E222" s="26"/>
      <c r="F222" s="34"/>
      <c r="H222" s="4"/>
      <c r="I222">
        <f t="shared" si="23"/>
        <v>5</v>
      </c>
      <c r="J222" s="26"/>
      <c r="K222" s="25"/>
      <c r="L222" s="27"/>
    </row>
    <row r="223" spans="4:12" x14ac:dyDescent="0.35">
      <c r="D223" s="26"/>
      <c r="E223" s="26"/>
      <c r="F223" s="34"/>
      <c r="H223" s="4"/>
      <c r="I223">
        <f t="shared" si="23"/>
        <v>6</v>
      </c>
      <c r="J223" s="26"/>
      <c r="K223" s="25"/>
      <c r="L223" s="27"/>
    </row>
    <row r="224" spans="4:12" x14ac:dyDescent="0.35">
      <c r="D224" s="26"/>
      <c r="E224" s="26"/>
      <c r="F224" s="34"/>
      <c r="H224" s="4"/>
      <c r="I224">
        <f t="shared" si="23"/>
        <v>7</v>
      </c>
      <c r="J224" s="26"/>
      <c r="K224" s="25"/>
      <c r="L224" s="27"/>
    </row>
    <row r="225" spans="4:12" x14ac:dyDescent="0.35">
      <c r="D225" s="26"/>
      <c r="E225" s="26"/>
      <c r="F225" s="34"/>
      <c r="H225" s="4"/>
      <c r="I225">
        <f t="shared" si="23"/>
        <v>8</v>
      </c>
      <c r="J225" s="26"/>
      <c r="K225" s="25"/>
      <c r="L225" s="27"/>
    </row>
    <row r="226" spans="4:12" x14ac:dyDescent="0.35">
      <c r="D226" s="26"/>
      <c r="E226" s="26"/>
      <c r="F226" s="34"/>
      <c r="H226" s="4"/>
      <c r="I226">
        <f t="shared" si="23"/>
        <v>9</v>
      </c>
      <c r="J226" s="26"/>
      <c r="K226" s="25"/>
      <c r="L226" s="27"/>
    </row>
    <row r="227" spans="4:12" x14ac:dyDescent="0.35">
      <c r="D227" s="26"/>
      <c r="E227" s="26"/>
      <c r="F227" s="34"/>
      <c r="H227" s="4"/>
      <c r="I227">
        <f t="shared" si="23"/>
        <v>10</v>
      </c>
      <c r="J227" s="26"/>
      <c r="K227" s="25"/>
      <c r="L227" s="27"/>
    </row>
    <row r="228" spans="4:12" x14ac:dyDescent="0.35">
      <c r="D228" s="26"/>
      <c r="E228" s="26"/>
      <c r="F228" s="34"/>
      <c r="H228" s="4"/>
      <c r="I228">
        <f t="shared" si="23"/>
        <v>11</v>
      </c>
      <c r="J228" s="26"/>
      <c r="K228" s="25"/>
      <c r="L228" s="27"/>
    </row>
    <row r="229" spans="4:12" x14ac:dyDescent="0.35">
      <c r="D229" s="26"/>
      <c r="E229" s="26"/>
      <c r="F229" s="34"/>
      <c r="H229" s="4"/>
      <c r="I229">
        <f t="shared" si="23"/>
        <v>12</v>
      </c>
      <c r="J229" s="26"/>
      <c r="K229" s="25"/>
      <c r="L229" s="27"/>
    </row>
    <row r="230" spans="4:12" x14ac:dyDescent="0.35">
      <c r="D230" s="26"/>
      <c r="E230" s="26"/>
      <c r="F230" s="34"/>
      <c r="H230" s="4"/>
      <c r="I230">
        <f>+I229+1</f>
        <v>13</v>
      </c>
      <c r="J230" s="26"/>
      <c r="K230" s="25"/>
      <c r="L230" s="27"/>
    </row>
    <row r="231" spans="4:12" x14ac:dyDescent="0.35">
      <c r="D231" s="26"/>
      <c r="E231" s="26"/>
      <c r="F231" s="34"/>
      <c r="H231" s="4"/>
      <c r="I231">
        <f t="shared" si="23"/>
        <v>14</v>
      </c>
      <c r="J231" s="26"/>
      <c r="K231" s="25"/>
      <c r="L231" s="27"/>
    </row>
    <row r="232" spans="4:12" x14ac:dyDescent="0.35">
      <c r="D232" s="26"/>
      <c r="E232" s="26"/>
      <c r="F232" s="34"/>
      <c r="H232" s="4"/>
      <c r="I232">
        <f t="shared" si="23"/>
        <v>15</v>
      </c>
      <c r="J232" s="26"/>
      <c r="K232" s="25"/>
      <c r="L232" s="27"/>
    </row>
    <row r="233" spans="4:12" x14ac:dyDescent="0.35">
      <c r="D233" s="26"/>
      <c r="E233" s="26"/>
      <c r="F233" s="34"/>
      <c r="H233" s="4"/>
      <c r="I233">
        <f t="shared" si="23"/>
        <v>16</v>
      </c>
      <c r="J233" s="26"/>
      <c r="K233" s="25"/>
      <c r="L233" s="27"/>
    </row>
    <row r="234" spans="4:12" x14ac:dyDescent="0.35">
      <c r="D234" s="26"/>
      <c r="E234" s="26"/>
      <c r="F234" s="34"/>
      <c r="H234" s="4"/>
      <c r="I234">
        <f t="shared" si="23"/>
        <v>17</v>
      </c>
      <c r="J234" s="26"/>
      <c r="K234" s="25"/>
      <c r="L234" s="27"/>
    </row>
    <row r="235" spans="4:12" x14ac:dyDescent="0.35">
      <c r="D235" s="26"/>
      <c r="E235" s="26"/>
      <c r="F235" s="34"/>
      <c r="H235" s="4"/>
      <c r="I235">
        <f t="shared" si="23"/>
        <v>18</v>
      </c>
      <c r="J235" s="26"/>
      <c r="K235" s="25"/>
      <c r="L235" s="27"/>
    </row>
    <row r="236" spans="4:12" x14ac:dyDescent="0.35">
      <c r="D236" s="26"/>
      <c r="E236" s="26"/>
      <c r="F236" s="34"/>
      <c r="H236" s="4"/>
      <c r="I236">
        <f t="shared" si="23"/>
        <v>19</v>
      </c>
      <c r="J236" s="26"/>
      <c r="K236" s="25"/>
      <c r="L236" s="27"/>
    </row>
    <row r="237" spans="4:12" x14ac:dyDescent="0.35">
      <c r="D237" s="26"/>
      <c r="E237" s="26"/>
      <c r="F237" s="34"/>
      <c r="H237" s="4"/>
      <c r="I237">
        <f t="shared" si="23"/>
        <v>20</v>
      </c>
      <c r="J237" s="26"/>
      <c r="K237" s="25"/>
      <c r="L237" s="29"/>
    </row>
    <row r="238" spans="4:12" x14ac:dyDescent="0.35">
      <c r="D238" s="26"/>
      <c r="E238" s="26"/>
      <c r="F238" s="34"/>
      <c r="H238" s="4"/>
      <c r="I238">
        <f t="shared" si="23"/>
        <v>21</v>
      </c>
      <c r="J238" s="26"/>
      <c r="K238" s="25"/>
      <c r="L238" s="29"/>
    </row>
    <row r="239" spans="4:12" x14ac:dyDescent="0.35">
      <c r="D239" s="26"/>
      <c r="E239" s="26"/>
      <c r="F239" s="34"/>
      <c r="H239" s="4"/>
      <c r="I239">
        <f t="shared" si="23"/>
        <v>22</v>
      </c>
      <c r="J239" s="26"/>
      <c r="K239" s="25"/>
      <c r="L239" s="29"/>
    </row>
    <row r="240" spans="4:12" x14ac:dyDescent="0.35">
      <c r="D240" s="26"/>
      <c r="E240" s="26"/>
      <c r="F240" s="34"/>
      <c r="H240" s="4"/>
      <c r="I240">
        <f t="shared" si="23"/>
        <v>23</v>
      </c>
      <c r="J240" s="26"/>
      <c r="K240" s="25"/>
      <c r="L240" s="29"/>
    </row>
    <row r="241" spans="1:1098" x14ac:dyDescent="0.35">
      <c r="D241" s="26"/>
      <c r="E241" s="26"/>
      <c r="F241" s="34"/>
      <c r="H241" s="4"/>
      <c r="I241">
        <f t="shared" si="23"/>
        <v>24</v>
      </c>
      <c r="J241" s="26"/>
      <c r="K241" s="25"/>
      <c r="L241" s="29"/>
    </row>
    <row r="242" spans="1:1098" x14ac:dyDescent="0.35">
      <c r="F242" s="26"/>
      <c r="G242" s="25"/>
      <c r="H242" s="37"/>
      <c r="I242" s="11">
        <f t="shared" si="23"/>
        <v>25</v>
      </c>
      <c r="J242" s="11"/>
      <c r="K242" s="11"/>
      <c r="L242" s="12"/>
    </row>
    <row r="243" spans="1:1098" s="38" customFormat="1" x14ac:dyDescent="0.35">
      <c r="B243" s="39" t="s">
        <v>22</v>
      </c>
    </row>
    <row r="244" spans="1:1098" x14ac:dyDescent="0.35">
      <c r="A244" s="1"/>
      <c r="B244" s="40">
        <v>41730</v>
      </c>
      <c r="C244" s="40">
        <v>41731</v>
      </c>
      <c r="D244" s="40">
        <v>41732</v>
      </c>
      <c r="E244" s="40">
        <v>41733</v>
      </c>
      <c r="F244" s="40">
        <v>41734</v>
      </c>
      <c r="G244" s="40">
        <v>41735</v>
      </c>
      <c r="H244" s="40">
        <v>41736</v>
      </c>
      <c r="I244" s="40">
        <v>41737</v>
      </c>
      <c r="J244" s="40">
        <v>41738</v>
      </c>
      <c r="K244" s="40">
        <v>41739</v>
      </c>
      <c r="L244" s="40">
        <v>41740</v>
      </c>
      <c r="M244" s="40">
        <v>41741</v>
      </c>
      <c r="N244" s="40">
        <v>41742</v>
      </c>
      <c r="O244" s="40">
        <v>41743</v>
      </c>
      <c r="P244" s="40">
        <v>41744</v>
      </c>
      <c r="Q244" s="40">
        <v>41745</v>
      </c>
      <c r="R244" s="40">
        <v>41746</v>
      </c>
      <c r="S244" s="40">
        <v>41747</v>
      </c>
      <c r="T244" s="40">
        <v>41748</v>
      </c>
      <c r="U244" s="40">
        <v>41749</v>
      </c>
      <c r="V244" s="40">
        <v>41750</v>
      </c>
      <c r="W244" s="40">
        <v>41751</v>
      </c>
      <c r="X244" s="40">
        <v>41752</v>
      </c>
      <c r="Y244" s="40">
        <v>41753</v>
      </c>
      <c r="Z244" s="40">
        <v>41754</v>
      </c>
      <c r="AA244" s="40">
        <v>41755</v>
      </c>
      <c r="AB244" s="40">
        <v>41756</v>
      </c>
      <c r="AC244" s="40">
        <v>41757</v>
      </c>
      <c r="AD244" s="40">
        <v>41758</v>
      </c>
      <c r="AE244" s="40">
        <v>41759</v>
      </c>
      <c r="AF244" s="40">
        <v>41760</v>
      </c>
      <c r="AG244" s="40">
        <v>41761</v>
      </c>
      <c r="AH244" s="40">
        <v>41762</v>
      </c>
      <c r="AI244" s="40">
        <v>41763</v>
      </c>
      <c r="AJ244" s="40">
        <v>41764</v>
      </c>
      <c r="AK244" s="40">
        <v>41765</v>
      </c>
      <c r="AL244" s="40">
        <v>41766</v>
      </c>
      <c r="AM244" s="40">
        <v>41767</v>
      </c>
      <c r="AN244" s="40">
        <v>41768</v>
      </c>
      <c r="AO244" s="40">
        <v>41769</v>
      </c>
      <c r="AP244" s="40">
        <v>41770</v>
      </c>
      <c r="AQ244" s="40">
        <v>41771</v>
      </c>
      <c r="AR244" s="40">
        <v>41772</v>
      </c>
      <c r="AS244" s="40">
        <v>41773</v>
      </c>
      <c r="AT244" s="40">
        <v>41774</v>
      </c>
      <c r="AU244" s="40">
        <v>41775</v>
      </c>
      <c r="AV244" s="40">
        <v>41776</v>
      </c>
      <c r="AW244" s="40">
        <v>41777</v>
      </c>
      <c r="AX244" s="40">
        <v>41778</v>
      </c>
      <c r="AY244" s="40">
        <v>41779</v>
      </c>
      <c r="AZ244" s="40">
        <v>41780</v>
      </c>
      <c r="BA244" s="40">
        <v>41781</v>
      </c>
      <c r="BB244" s="40">
        <v>41782</v>
      </c>
      <c r="BC244" s="40">
        <v>41783</v>
      </c>
      <c r="BD244" s="40">
        <v>41784</v>
      </c>
      <c r="BE244" s="40">
        <v>41785</v>
      </c>
      <c r="BF244" s="40">
        <v>41786</v>
      </c>
      <c r="BG244" s="40">
        <v>41787</v>
      </c>
      <c r="BH244" s="40">
        <v>41788</v>
      </c>
      <c r="BI244" s="40">
        <v>41789</v>
      </c>
      <c r="BJ244" s="40">
        <v>41790</v>
      </c>
      <c r="BK244" s="40">
        <v>41791</v>
      </c>
      <c r="BL244" s="40">
        <v>41792</v>
      </c>
      <c r="BM244" s="40">
        <v>41793</v>
      </c>
      <c r="BN244" s="40">
        <v>41794</v>
      </c>
      <c r="BO244" s="40">
        <v>41795</v>
      </c>
      <c r="BP244" s="40">
        <v>41796</v>
      </c>
      <c r="BQ244" s="40">
        <v>41797</v>
      </c>
      <c r="BR244" s="40">
        <v>41798</v>
      </c>
      <c r="BS244" s="40">
        <v>41799</v>
      </c>
      <c r="BT244" s="40">
        <v>41800</v>
      </c>
      <c r="BU244" s="40">
        <v>41801</v>
      </c>
      <c r="BV244" s="40">
        <v>41802</v>
      </c>
      <c r="BW244" s="40">
        <v>41803</v>
      </c>
      <c r="BX244" s="40">
        <v>41804</v>
      </c>
      <c r="BY244" s="40">
        <v>41805</v>
      </c>
      <c r="BZ244" s="40">
        <v>41806</v>
      </c>
      <c r="CA244" s="40">
        <v>41807</v>
      </c>
      <c r="CB244" s="40">
        <v>41808</v>
      </c>
      <c r="CC244" s="40">
        <v>41809</v>
      </c>
      <c r="CD244" s="40">
        <v>41810</v>
      </c>
      <c r="CE244" s="40">
        <v>41811</v>
      </c>
      <c r="CF244" s="40">
        <v>41812</v>
      </c>
      <c r="CG244" s="40">
        <v>41813</v>
      </c>
      <c r="CH244" s="40">
        <v>41814</v>
      </c>
      <c r="CI244" s="40">
        <v>41815</v>
      </c>
      <c r="CJ244" s="40">
        <v>41816</v>
      </c>
      <c r="CK244" s="40">
        <v>41817</v>
      </c>
      <c r="CL244" s="40">
        <v>41818</v>
      </c>
      <c r="CM244" s="40">
        <v>41819</v>
      </c>
      <c r="CN244" s="40">
        <v>41820</v>
      </c>
      <c r="CO244" s="40">
        <v>41821</v>
      </c>
      <c r="CP244" s="40">
        <v>41822</v>
      </c>
      <c r="CQ244" s="40">
        <v>41823</v>
      </c>
      <c r="CR244" s="40">
        <v>41824</v>
      </c>
      <c r="CS244" s="40">
        <v>41825</v>
      </c>
      <c r="CT244" s="40">
        <v>41826</v>
      </c>
      <c r="CU244" s="40">
        <v>41827</v>
      </c>
      <c r="CV244" s="40">
        <v>41828</v>
      </c>
      <c r="CW244" s="40">
        <v>41829</v>
      </c>
      <c r="CX244" s="40">
        <v>41830</v>
      </c>
      <c r="CY244" s="40">
        <v>41831</v>
      </c>
      <c r="CZ244" s="40">
        <v>41832</v>
      </c>
      <c r="DA244" s="40">
        <v>41833</v>
      </c>
      <c r="DB244" s="40">
        <v>41834</v>
      </c>
      <c r="DC244" s="40">
        <v>41835</v>
      </c>
      <c r="DD244" s="40">
        <v>41836</v>
      </c>
      <c r="DE244" s="40">
        <v>41837</v>
      </c>
      <c r="DF244" s="40">
        <v>41838</v>
      </c>
      <c r="DG244" s="40">
        <v>41839</v>
      </c>
      <c r="DH244" s="40">
        <v>41840</v>
      </c>
      <c r="DI244" s="40">
        <v>41841</v>
      </c>
      <c r="DJ244" s="40">
        <v>41842</v>
      </c>
      <c r="DK244" s="40">
        <v>41843</v>
      </c>
      <c r="DL244" s="40">
        <v>41844</v>
      </c>
      <c r="DM244" s="40">
        <v>41845</v>
      </c>
      <c r="DN244" s="40">
        <v>41846</v>
      </c>
      <c r="DO244" s="40">
        <v>41847</v>
      </c>
      <c r="DP244" s="40">
        <v>41848</v>
      </c>
      <c r="DQ244" s="40">
        <v>41849</v>
      </c>
      <c r="DR244" s="40">
        <v>41850</v>
      </c>
      <c r="DS244" s="40">
        <v>41851</v>
      </c>
      <c r="DT244" s="40">
        <v>41852</v>
      </c>
      <c r="DU244" s="40">
        <v>41853</v>
      </c>
      <c r="DV244" s="40">
        <v>41854</v>
      </c>
      <c r="DW244" s="40">
        <v>41855</v>
      </c>
      <c r="DX244" s="40">
        <v>41856</v>
      </c>
      <c r="DY244" s="40">
        <v>41857</v>
      </c>
      <c r="DZ244" s="40">
        <v>41858</v>
      </c>
      <c r="EA244" s="40">
        <v>41859</v>
      </c>
      <c r="EB244" s="40">
        <v>41860</v>
      </c>
      <c r="EC244" s="40">
        <v>41861</v>
      </c>
      <c r="ED244" s="40">
        <v>41862</v>
      </c>
      <c r="EE244" s="40">
        <v>41863</v>
      </c>
      <c r="EF244" s="40">
        <v>41864</v>
      </c>
      <c r="EG244" s="40">
        <v>41865</v>
      </c>
      <c r="EH244" s="40">
        <v>41866</v>
      </c>
      <c r="EI244" s="40">
        <v>41867</v>
      </c>
      <c r="EJ244" s="40">
        <v>41868</v>
      </c>
      <c r="EK244" s="40">
        <v>41869</v>
      </c>
      <c r="EL244" s="40">
        <v>41870</v>
      </c>
      <c r="EM244" s="40">
        <v>41871</v>
      </c>
      <c r="EN244" s="40">
        <v>41872</v>
      </c>
      <c r="EO244" s="40">
        <v>41873</v>
      </c>
      <c r="EP244" s="40">
        <v>41874</v>
      </c>
      <c r="EQ244" s="40">
        <v>41875</v>
      </c>
      <c r="ER244" s="40">
        <v>41876</v>
      </c>
      <c r="ES244" s="40">
        <v>41877</v>
      </c>
      <c r="ET244" s="40">
        <v>41878</v>
      </c>
      <c r="EU244" s="40">
        <v>41879</v>
      </c>
      <c r="EV244" s="40">
        <v>41880</v>
      </c>
      <c r="EW244" s="40">
        <v>41881</v>
      </c>
      <c r="EX244" s="40">
        <v>41882</v>
      </c>
      <c r="EY244" s="40">
        <v>41883</v>
      </c>
      <c r="EZ244" s="40">
        <v>41884</v>
      </c>
      <c r="FA244" s="40">
        <v>41885</v>
      </c>
      <c r="FB244" s="40">
        <v>41886</v>
      </c>
      <c r="FC244" s="40">
        <v>41887</v>
      </c>
      <c r="FD244" s="40">
        <v>41888</v>
      </c>
      <c r="FE244" s="40">
        <v>41889</v>
      </c>
      <c r="FF244" s="40">
        <v>41890</v>
      </c>
      <c r="FG244" s="40">
        <v>41891</v>
      </c>
      <c r="FH244" s="40">
        <v>41892</v>
      </c>
      <c r="FI244" s="40">
        <v>41893</v>
      </c>
      <c r="FJ244" s="40">
        <v>41894</v>
      </c>
      <c r="FK244" s="40">
        <v>41895</v>
      </c>
      <c r="FL244" s="40">
        <v>41896</v>
      </c>
      <c r="FM244" s="40">
        <v>41897</v>
      </c>
      <c r="FN244" s="40">
        <v>41898</v>
      </c>
      <c r="FO244" s="40">
        <v>41899</v>
      </c>
      <c r="FP244" s="40">
        <v>41900</v>
      </c>
      <c r="FQ244" s="40">
        <v>41901</v>
      </c>
      <c r="FR244" s="40">
        <v>41902</v>
      </c>
      <c r="FS244" s="40">
        <v>41903</v>
      </c>
      <c r="FT244" s="40">
        <v>41904</v>
      </c>
      <c r="FU244" s="40">
        <v>41905</v>
      </c>
      <c r="FV244" s="40">
        <v>41906</v>
      </c>
      <c r="FW244" s="40">
        <v>41907</v>
      </c>
      <c r="FX244" s="40">
        <v>41908</v>
      </c>
      <c r="FY244" s="40">
        <v>41909</v>
      </c>
      <c r="FZ244" s="40">
        <v>41910</v>
      </c>
      <c r="GA244" s="40">
        <v>41911</v>
      </c>
      <c r="GB244" s="40">
        <v>41912</v>
      </c>
      <c r="GC244" s="40">
        <v>41913</v>
      </c>
      <c r="GD244" s="40">
        <v>41914</v>
      </c>
      <c r="GE244" s="40">
        <v>41915</v>
      </c>
      <c r="GF244" s="40">
        <v>41916</v>
      </c>
      <c r="GG244" s="40">
        <v>41917</v>
      </c>
      <c r="GH244" s="40">
        <v>41918</v>
      </c>
      <c r="GI244" s="40">
        <v>41919</v>
      </c>
      <c r="GJ244" s="40">
        <v>41920</v>
      </c>
      <c r="GK244" s="40">
        <v>41921</v>
      </c>
      <c r="GL244" s="40">
        <v>41922</v>
      </c>
      <c r="GM244" s="40">
        <v>41923</v>
      </c>
      <c r="GN244" s="40">
        <v>41924</v>
      </c>
      <c r="GO244" s="40">
        <v>41925</v>
      </c>
      <c r="GP244" s="40">
        <v>41926</v>
      </c>
      <c r="GQ244" s="40">
        <v>41927</v>
      </c>
      <c r="GR244" s="40">
        <v>41928</v>
      </c>
      <c r="GS244" s="40">
        <v>41929</v>
      </c>
      <c r="GT244" s="40">
        <v>41930</v>
      </c>
      <c r="GU244" s="40">
        <v>41931</v>
      </c>
      <c r="GV244" s="40">
        <v>41932</v>
      </c>
      <c r="GW244" s="40">
        <v>41933</v>
      </c>
      <c r="GX244" s="40">
        <v>41934</v>
      </c>
      <c r="GY244" s="40">
        <v>41935</v>
      </c>
      <c r="GZ244" s="40">
        <v>41936</v>
      </c>
      <c r="HA244" s="40">
        <v>41937</v>
      </c>
      <c r="HB244" s="40">
        <v>41938</v>
      </c>
      <c r="HC244" s="40">
        <v>41939</v>
      </c>
      <c r="HD244" s="40">
        <v>41940</v>
      </c>
      <c r="HE244" s="40">
        <v>41941</v>
      </c>
      <c r="HF244" s="40">
        <v>41942</v>
      </c>
      <c r="HG244" s="40">
        <v>41943</v>
      </c>
      <c r="HH244" s="40">
        <v>41944</v>
      </c>
      <c r="HI244" s="40">
        <v>41945</v>
      </c>
      <c r="HJ244" s="40">
        <v>41946</v>
      </c>
      <c r="HK244" s="40">
        <v>41947</v>
      </c>
      <c r="HL244" s="40">
        <v>41948</v>
      </c>
      <c r="HM244" s="40">
        <v>41949</v>
      </c>
      <c r="HN244" s="40">
        <v>41950</v>
      </c>
      <c r="HO244" s="40">
        <v>41951</v>
      </c>
      <c r="HP244" s="40">
        <v>41952</v>
      </c>
      <c r="HQ244" s="40">
        <v>41953</v>
      </c>
      <c r="HR244" s="40">
        <v>41954</v>
      </c>
      <c r="HS244" s="40">
        <v>41955</v>
      </c>
      <c r="HT244" s="40">
        <v>41956</v>
      </c>
      <c r="HU244" s="40">
        <v>41957</v>
      </c>
      <c r="HV244" s="40">
        <v>41958</v>
      </c>
      <c r="HW244" s="40">
        <v>41959</v>
      </c>
      <c r="HX244" s="40">
        <v>41960</v>
      </c>
      <c r="HY244" s="40">
        <v>41961</v>
      </c>
      <c r="HZ244" s="40">
        <v>41962</v>
      </c>
      <c r="IA244" s="40">
        <v>41963</v>
      </c>
      <c r="IB244" s="40">
        <v>41964</v>
      </c>
      <c r="IC244" s="40">
        <v>41965</v>
      </c>
      <c r="ID244" s="40">
        <v>41966</v>
      </c>
      <c r="IE244" s="40">
        <v>41967</v>
      </c>
      <c r="IF244" s="40">
        <v>41968</v>
      </c>
      <c r="IG244" s="40">
        <v>41969</v>
      </c>
      <c r="IH244" s="40">
        <v>41970</v>
      </c>
      <c r="II244" s="40">
        <v>41971</v>
      </c>
      <c r="IJ244" s="40">
        <v>41972</v>
      </c>
      <c r="IK244" s="40">
        <v>41973</v>
      </c>
      <c r="IL244" s="40">
        <v>41974</v>
      </c>
      <c r="IM244" s="40">
        <v>41975</v>
      </c>
      <c r="IN244" s="40">
        <v>41976</v>
      </c>
      <c r="IO244" s="40">
        <v>41977</v>
      </c>
      <c r="IP244" s="40">
        <v>41978</v>
      </c>
      <c r="IQ244" s="40">
        <v>41979</v>
      </c>
      <c r="IR244" s="40">
        <v>41980</v>
      </c>
      <c r="IS244" s="40">
        <v>41981</v>
      </c>
      <c r="IT244" s="40">
        <v>41982</v>
      </c>
      <c r="IU244" s="40">
        <v>41983</v>
      </c>
      <c r="IV244" s="40">
        <v>41984</v>
      </c>
      <c r="IW244" s="40">
        <v>41985</v>
      </c>
      <c r="IX244" s="40">
        <v>41986</v>
      </c>
      <c r="IY244" s="40">
        <v>41987</v>
      </c>
      <c r="IZ244" s="40">
        <v>41988</v>
      </c>
      <c r="JA244" s="40">
        <v>41989</v>
      </c>
      <c r="JB244" s="40">
        <v>41990</v>
      </c>
      <c r="JC244" s="40">
        <v>41991</v>
      </c>
      <c r="JD244" s="40">
        <v>41992</v>
      </c>
      <c r="JE244" s="40">
        <v>41993</v>
      </c>
      <c r="JF244" s="40">
        <v>41994</v>
      </c>
      <c r="JG244" s="40">
        <v>41995</v>
      </c>
      <c r="JH244" s="40">
        <v>41996</v>
      </c>
      <c r="JI244" s="40">
        <v>41997</v>
      </c>
      <c r="JJ244" s="40">
        <v>41998</v>
      </c>
      <c r="JK244" s="40">
        <v>41999</v>
      </c>
      <c r="JL244" s="40">
        <v>42000</v>
      </c>
      <c r="JM244" s="40">
        <v>42001</v>
      </c>
      <c r="JN244" s="40">
        <v>42002</v>
      </c>
      <c r="JO244" s="40">
        <v>42003</v>
      </c>
      <c r="JP244" s="40">
        <v>42004</v>
      </c>
      <c r="JQ244" s="40">
        <v>42005</v>
      </c>
      <c r="JR244" s="40">
        <v>42006</v>
      </c>
      <c r="JS244" s="40">
        <v>42007</v>
      </c>
      <c r="JT244" s="40">
        <v>42008</v>
      </c>
      <c r="JU244" s="40">
        <v>42009</v>
      </c>
      <c r="JV244" s="40">
        <v>42010</v>
      </c>
      <c r="JW244" s="40">
        <v>42011</v>
      </c>
      <c r="JX244" s="40">
        <v>42012</v>
      </c>
      <c r="JY244" s="40">
        <v>42013</v>
      </c>
      <c r="JZ244" s="40">
        <v>42014</v>
      </c>
      <c r="KA244" s="40">
        <v>42015</v>
      </c>
      <c r="KB244" s="40">
        <v>42016</v>
      </c>
      <c r="KC244" s="40">
        <v>42017</v>
      </c>
      <c r="KD244" s="40">
        <v>42018</v>
      </c>
      <c r="KE244" s="40">
        <v>42019</v>
      </c>
      <c r="KF244" s="40">
        <v>42020</v>
      </c>
      <c r="KG244" s="40">
        <v>42021</v>
      </c>
      <c r="KH244" s="40">
        <v>42022</v>
      </c>
      <c r="KI244" s="40">
        <v>42023</v>
      </c>
      <c r="KJ244" s="40">
        <v>42024</v>
      </c>
      <c r="KK244" s="40">
        <v>42025</v>
      </c>
      <c r="KL244" s="40">
        <v>42026</v>
      </c>
      <c r="KM244" s="40">
        <v>42027</v>
      </c>
      <c r="KN244" s="40">
        <v>42028</v>
      </c>
      <c r="KO244" s="40">
        <v>42029</v>
      </c>
      <c r="KP244" s="40">
        <v>42030</v>
      </c>
      <c r="KQ244" s="40">
        <v>42031</v>
      </c>
      <c r="KR244" s="40">
        <v>42032</v>
      </c>
      <c r="KS244" s="40">
        <v>42033</v>
      </c>
      <c r="KT244" s="40">
        <v>42034</v>
      </c>
      <c r="KU244" s="40">
        <v>42035</v>
      </c>
      <c r="KV244" s="40">
        <v>42036</v>
      </c>
      <c r="KW244" s="40">
        <v>42037</v>
      </c>
      <c r="KX244" s="40">
        <v>42038</v>
      </c>
      <c r="KY244" s="40">
        <v>42039</v>
      </c>
      <c r="KZ244" s="40">
        <v>42040</v>
      </c>
      <c r="LA244" s="40">
        <v>42041</v>
      </c>
      <c r="LB244" s="40">
        <v>42042</v>
      </c>
      <c r="LC244" s="40">
        <v>42043</v>
      </c>
      <c r="LD244" s="40">
        <v>42044</v>
      </c>
      <c r="LE244" s="40">
        <v>42045</v>
      </c>
      <c r="LF244" s="40">
        <v>42046</v>
      </c>
      <c r="LG244" s="40">
        <v>42047</v>
      </c>
      <c r="LH244" s="40">
        <v>42048</v>
      </c>
      <c r="LI244" s="40">
        <v>42049</v>
      </c>
      <c r="LJ244" s="40">
        <v>42050</v>
      </c>
      <c r="LK244" s="40">
        <v>42051</v>
      </c>
      <c r="LL244" s="40">
        <v>42052</v>
      </c>
      <c r="LM244" s="40">
        <v>42053</v>
      </c>
      <c r="LN244" s="40">
        <v>42054</v>
      </c>
      <c r="LO244" s="40">
        <v>42055</v>
      </c>
      <c r="LP244" s="40">
        <v>42056</v>
      </c>
      <c r="LQ244" s="40">
        <v>42057</v>
      </c>
      <c r="LR244" s="40">
        <v>42058</v>
      </c>
      <c r="LS244" s="40">
        <v>42059</v>
      </c>
      <c r="LT244" s="40">
        <v>42060</v>
      </c>
      <c r="LU244" s="40">
        <v>42061</v>
      </c>
      <c r="LV244" s="40">
        <v>42062</v>
      </c>
      <c r="LW244" s="40">
        <v>42063</v>
      </c>
      <c r="LX244" s="40">
        <v>42064</v>
      </c>
      <c r="LY244" s="40">
        <v>42065</v>
      </c>
      <c r="LZ244" s="40">
        <v>42066</v>
      </c>
      <c r="MA244" s="40">
        <v>42067</v>
      </c>
      <c r="MB244" s="40">
        <v>42068</v>
      </c>
      <c r="MC244" s="40">
        <v>42069</v>
      </c>
      <c r="MD244" s="40">
        <v>42070</v>
      </c>
      <c r="ME244" s="40">
        <v>42071</v>
      </c>
      <c r="MF244" s="40">
        <v>42072</v>
      </c>
      <c r="MG244" s="40">
        <v>42073</v>
      </c>
      <c r="MH244" s="40">
        <v>42074</v>
      </c>
      <c r="MI244" s="40">
        <v>42075</v>
      </c>
      <c r="MJ244" s="40">
        <v>42076</v>
      </c>
      <c r="MK244" s="40">
        <v>42077</v>
      </c>
      <c r="ML244" s="40">
        <v>42078</v>
      </c>
      <c r="MM244" s="40">
        <v>42079</v>
      </c>
      <c r="MN244" s="40">
        <v>42080</v>
      </c>
      <c r="MO244" s="40">
        <v>42081</v>
      </c>
      <c r="MP244" s="40">
        <v>42082</v>
      </c>
      <c r="MQ244" s="40">
        <v>42083</v>
      </c>
      <c r="MR244" s="40">
        <v>42084</v>
      </c>
      <c r="MS244" s="40">
        <v>42085</v>
      </c>
      <c r="MT244" s="40">
        <v>42086</v>
      </c>
      <c r="MU244" s="40">
        <v>42087</v>
      </c>
      <c r="MV244" s="40">
        <v>42088</v>
      </c>
      <c r="MW244" s="40">
        <v>42089</v>
      </c>
      <c r="MX244" s="40">
        <v>42090</v>
      </c>
      <c r="MY244" s="40">
        <v>42091</v>
      </c>
      <c r="MZ244" s="40">
        <v>42092</v>
      </c>
      <c r="NA244" s="40">
        <v>42093</v>
      </c>
      <c r="NB244" s="41">
        <v>42094</v>
      </c>
    </row>
    <row r="245" spans="1:1098" s="43" customFormat="1" x14ac:dyDescent="0.35">
      <c r="A245" s="42" t="s">
        <v>23</v>
      </c>
      <c r="B245" s="43">
        <f t="shared" ref="B245:BM246" si="24">+B248*$D$4</f>
        <v>0</v>
      </c>
      <c r="C245" s="43">
        <f t="shared" si="24"/>
        <v>9.590163934426231E-2</v>
      </c>
      <c r="D245" s="43">
        <f t="shared" si="24"/>
        <v>0.19180327868852462</v>
      </c>
      <c r="E245" s="43">
        <f t="shared" si="24"/>
        <v>0.28770491803278692</v>
      </c>
      <c r="F245" s="43">
        <f t="shared" si="24"/>
        <v>0.38360655737704924</v>
      </c>
      <c r="G245" s="43">
        <f t="shared" si="24"/>
        <v>0.47950819672131151</v>
      </c>
      <c r="H245" s="43">
        <f t="shared" si="24"/>
        <v>0.57540983606557383</v>
      </c>
      <c r="I245" s="43">
        <f t="shared" si="24"/>
        <v>0.67131147540983604</v>
      </c>
      <c r="J245" s="43">
        <f t="shared" si="24"/>
        <v>0.76721311475409848</v>
      </c>
      <c r="K245" s="43">
        <f t="shared" si="24"/>
        <v>0.8631147540983608</v>
      </c>
      <c r="L245" s="43">
        <f t="shared" si="24"/>
        <v>0.95901639344262302</v>
      </c>
      <c r="M245" s="43">
        <f t="shared" si="24"/>
        <v>1.0549180327868855</v>
      </c>
      <c r="N245" s="43">
        <f t="shared" si="24"/>
        <v>1.1508196721311477</v>
      </c>
      <c r="O245" s="43">
        <f t="shared" si="24"/>
        <v>1.2467213114754101</v>
      </c>
      <c r="P245" s="43">
        <f t="shared" si="24"/>
        <v>1.3426229508196721</v>
      </c>
      <c r="Q245" s="43">
        <f t="shared" si="24"/>
        <v>1.4385245901639345</v>
      </c>
      <c r="R245" s="43">
        <f t="shared" si="24"/>
        <v>1.534426229508197</v>
      </c>
      <c r="S245" s="43">
        <f t="shared" si="24"/>
        <v>1.6303278688524592</v>
      </c>
      <c r="T245" s="43">
        <f t="shared" si="24"/>
        <v>1.7262295081967216</v>
      </c>
      <c r="U245" s="43">
        <f t="shared" si="24"/>
        <v>1.8221311475409836</v>
      </c>
      <c r="V245" s="43">
        <f t="shared" si="24"/>
        <v>1.918032786885246</v>
      </c>
      <c r="W245" s="43">
        <f t="shared" si="24"/>
        <v>2.0139344262295085</v>
      </c>
      <c r="X245" s="43">
        <f t="shared" si="24"/>
        <v>2.1098360655737709</v>
      </c>
      <c r="Y245" s="43">
        <f t="shared" si="24"/>
        <v>2.2057377049180329</v>
      </c>
      <c r="Z245" s="43">
        <f t="shared" si="24"/>
        <v>2.3016393442622953</v>
      </c>
      <c r="AA245" s="43">
        <f t="shared" si="24"/>
        <v>2.3975409836065573</v>
      </c>
      <c r="AB245" s="43">
        <f t="shared" si="24"/>
        <v>2.4934426229508202</v>
      </c>
      <c r="AC245" s="43">
        <f t="shared" si="24"/>
        <v>2.5893442622950822</v>
      </c>
      <c r="AD245" s="43">
        <f t="shared" si="24"/>
        <v>2.6852459016393442</v>
      </c>
      <c r="AE245" s="43">
        <f t="shared" si="24"/>
        <v>2.7811475409836071</v>
      </c>
      <c r="AF245" s="43">
        <f t="shared" si="24"/>
        <v>2.877049180327869</v>
      </c>
      <c r="AG245" s="43">
        <f t="shared" si="24"/>
        <v>2.9729508196721315</v>
      </c>
      <c r="AH245" s="43">
        <f t="shared" si="24"/>
        <v>3.0688524590163939</v>
      </c>
      <c r="AI245" s="43">
        <f t="shared" si="24"/>
        <v>3.1647540983606559</v>
      </c>
      <c r="AJ245" s="43">
        <f t="shared" si="24"/>
        <v>3.2606557377049183</v>
      </c>
      <c r="AK245" s="43">
        <f t="shared" si="24"/>
        <v>3.3565573770491808</v>
      </c>
      <c r="AL245" s="43">
        <f t="shared" si="24"/>
        <v>3.4524590163934432</v>
      </c>
      <c r="AM245" s="43">
        <f t="shared" si="24"/>
        <v>3.5483606557377052</v>
      </c>
      <c r="AN245" s="43">
        <f t="shared" si="24"/>
        <v>3.6442622950819672</v>
      </c>
      <c r="AO245" s="43">
        <f t="shared" si="24"/>
        <v>3.7401639344262301</v>
      </c>
      <c r="AP245" s="43">
        <f t="shared" si="24"/>
        <v>3.8360655737704921</v>
      </c>
      <c r="AQ245" s="43">
        <f t="shared" si="24"/>
        <v>3.9319672131147545</v>
      </c>
      <c r="AR245" s="43">
        <f t="shared" si="24"/>
        <v>4.0278688524590169</v>
      </c>
      <c r="AS245" s="43">
        <f t="shared" si="24"/>
        <v>4.1237704918032785</v>
      </c>
      <c r="AT245" s="43">
        <f t="shared" si="24"/>
        <v>4.2196721311475418</v>
      </c>
      <c r="AU245" s="43">
        <f t="shared" si="24"/>
        <v>4.3155737704918034</v>
      </c>
      <c r="AV245" s="43">
        <f t="shared" si="24"/>
        <v>4.4114754098360658</v>
      </c>
      <c r="AW245" s="43">
        <f t="shared" si="24"/>
        <v>4.5073770491803291</v>
      </c>
      <c r="AX245" s="43">
        <f t="shared" si="24"/>
        <v>4.6032786885245907</v>
      </c>
      <c r="AY245" s="43">
        <f t="shared" si="24"/>
        <v>4.6991803278688531</v>
      </c>
      <c r="AZ245" s="43">
        <f t="shared" si="24"/>
        <v>4.7950819672131146</v>
      </c>
      <c r="BA245" s="43">
        <f t="shared" si="24"/>
        <v>4.8909836065573771</v>
      </c>
      <c r="BB245" s="43">
        <f t="shared" si="24"/>
        <v>4.9868852459016404</v>
      </c>
      <c r="BC245" s="43">
        <f t="shared" si="24"/>
        <v>5.0827868852459019</v>
      </c>
      <c r="BD245" s="43">
        <f t="shared" si="24"/>
        <v>5.1786885245901644</v>
      </c>
      <c r="BE245" s="43">
        <f t="shared" si="24"/>
        <v>5.2745901639344268</v>
      </c>
      <c r="BF245" s="43">
        <f t="shared" si="24"/>
        <v>5.3704918032786884</v>
      </c>
      <c r="BG245" s="43">
        <f t="shared" si="24"/>
        <v>5.4663934426229517</v>
      </c>
      <c r="BH245" s="43">
        <f t="shared" si="24"/>
        <v>5.5622950819672141</v>
      </c>
      <c r="BI245" s="43">
        <f t="shared" si="24"/>
        <v>5.6581967213114757</v>
      </c>
      <c r="BJ245" s="43">
        <f t="shared" si="24"/>
        <v>5.7540983606557381</v>
      </c>
      <c r="BK245" s="43">
        <f t="shared" si="24"/>
        <v>5.8500000000000005</v>
      </c>
      <c r="BL245" s="43">
        <f t="shared" si="24"/>
        <v>5.945901639344263</v>
      </c>
      <c r="BM245" s="43">
        <f t="shared" si="24"/>
        <v>6.0418032786885254</v>
      </c>
      <c r="BN245" s="43">
        <f t="shared" ref="BN245:DY246" si="25">+BN248*$D$4</f>
        <v>6.1377049180327878</v>
      </c>
      <c r="BO245" s="43">
        <f t="shared" si="25"/>
        <v>6.2336065573770494</v>
      </c>
      <c r="BP245" s="43">
        <f t="shared" si="25"/>
        <v>6.3295081967213118</v>
      </c>
      <c r="BQ245" s="43">
        <f t="shared" si="25"/>
        <v>6.4254098360655751</v>
      </c>
      <c r="BR245" s="43">
        <f t="shared" si="25"/>
        <v>6.5213114754098367</v>
      </c>
      <c r="BS245" s="43">
        <f t="shared" si="25"/>
        <v>6.6172131147540991</v>
      </c>
      <c r="BT245" s="43">
        <f t="shared" si="25"/>
        <v>6.7131147540983616</v>
      </c>
      <c r="BU245" s="43">
        <f t="shared" si="25"/>
        <v>6.8090163934426231</v>
      </c>
      <c r="BV245" s="43">
        <f t="shared" si="25"/>
        <v>6.9049180327868864</v>
      </c>
      <c r="BW245" s="43">
        <f t="shared" si="25"/>
        <v>7.0008196721311489</v>
      </c>
      <c r="BX245" s="43">
        <f t="shared" si="25"/>
        <v>7.0967213114754104</v>
      </c>
      <c r="BY245" s="43">
        <f t="shared" si="25"/>
        <v>7.1926229508196728</v>
      </c>
      <c r="BZ245" s="43">
        <f t="shared" si="25"/>
        <v>7.2885245901639344</v>
      </c>
      <c r="CA245" s="43">
        <f t="shared" si="25"/>
        <v>7.3844262295081977</v>
      </c>
      <c r="CB245" s="43">
        <f t="shared" si="25"/>
        <v>7.4803278688524601</v>
      </c>
      <c r="CC245" s="43">
        <f t="shared" si="25"/>
        <v>7.5762295081967217</v>
      </c>
      <c r="CD245" s="43">
        <f t="shared" si="25"/>
        <v>7.6721311475409841</v>
      </c>
      <c r="CE245" s="43">
        <f t="shared" si="25"/>
        <v>7.7680327868852466</v>
      </c>
      <c r="CF245" s="43">
        <f t="shared" si="25"/>
        <v>7.863934426229509</v>
      </c>
      <c r="CG245" s="43">
        <f t="shared" si="25"/>
        <v>7.9598360655737714</v>
      </c>
      <c r="CH245" s="43">
        <f t="shared" si="25"/>
        <v>8.0557377049180339</v>
      </c>
      <c r="CI245" s="43">
        <f t="shared" si="25"/>
        <v>8.1516393442622963</v>
      </c>
      <c r="CJ245" s="43">
        <f t="shared" si="25"/>
        <v>8.247540983606557</v>
      </c>
      <c r="CK245" s="43">
        <f t="shared" si="25"/>
        <v>8.3434426229508212</v>
      </c>
      <c r="CL245" s="43">
        <f t="shared" si="25"/>
        <v>8.4393442622950836</v>
      </c>
      <c r="CM245" s="43">
        <f t="shared" si="25"/>
        <v>8.5352459016393443</v>
      </c>
      <c r="CN245" s="43">
        <f t="shared" si="25"/>
        <v>8.6311475409836067</v>
      </c>
      <c r="CO245" s="43">
        <f t="shared" si="25"/>
        <v>8.7270491803278691</v>
      </c>
      <c r="CP245" s="43">
        <f t="shared" si="25"/>
        <v>8.8229508196721316</v>
      </c>
      <c r="CQ245" s="43">
        <f t="shared" si="25"/>
        <v>8.918852459016394</v>
      </c>
      <c r="CR245" s="43">
        <f t="shared" si="25"/>
        <v>9.0147540983606582</v>
      </c>
      <c r="CS245" s="43">
        <f t="shared" si="25"/>
        <v>9.1106557377049189</v>
      </c>
      <c r="CT245" s="43">
        <f t="shared" si="25"/>
        <v>9.2065573770491813</v>
      </c>
      <c r="CU245" s="43">
        <f t="shared" si="25"/>
        <v>9.302459016393442</v>
      </c>
      <c r="CV245" s="43">
        <f t="shared" si="25"/>
        <v>9.3983606557377062</v>
      </c>
      <c r="CW245" s="43">
        <f t="shared" si="25"/>
        <v>9.4942622950819686</v>
      </c>
      <c r="CX245" s="43">
        <f t="shared" si="25"/>
        <v>9.5901639344262293</v>
      </c>
      <c r="CY245" s="43">
        <f t="shared" si="25"/>
        <v>9.6860655737704935</v>
      </c>
      <c r="CZ245" s="43">
        <f t="shared" si="25"/>
        <v>9.7819672131147541</v>
      </c>
      <c r="DA245" s="43">
        <f t="shared" si="25"/>
        <v>9.8778688524590166</v>
      </c>
      <c r="DB245" s="43">
        <f t="shared" si="25"/>
        <v>9.9737704918032808</v>
      </c>
      <c r="DC245" s="43">
        <f t="shared" si="25"/>
        <v>10.069672131147541</v>
      </c>
      <c r="DD245" s="43">
        <f t="shared" si="25"/>
        <v>10.165573770491804</v>
      </c>
      <c r="DE245" s="43">
        <f t="shared" si="25"/>
        <v>10.261475409836066</v>
      </c>
      <c r="DF245" s="43">
        <f t="shared" si="25"/>
        <v>10.357377049180329</v>
      </c>
      <c r="DG245" s="43">
        <f t="shared" si="25"/>
        <v>10.453278688524591</v>
      </c>
      <c r="DH245" s="43">
        <f t="shared" si="25"/>
        <v>10.549180327868854</v>
      </c>
      <c r="DI245" s="43">
        <f t="shared" si="25"/>
        <v>10.645081967213116</v>
      </c>
      <c r="DJ245" s="43">
        <f t="shared" si="25"/>
        <v>10.740983606557377</v>
      </c>
      <c r="DK245" s="43">
        <f t="shared" si="25"/>
        <v>10.836885245901641</v>
      </c>
      <c r="DL245" s="43">
        <f t="shared" si="25"/>
        <v>10.932786885245903</v>
      </c>
      <c r="DM245" s="43">
        <f t="shared" si="25"/>
        <v>11.028688524590164</v>
      </c>
      <c r="DN245" s="43">
        <f t="shared" si="25"/>
        <v>11.124590163934428</v>
      </c>
      <c r="DO245" s="43">
        <f t="shared" si="25"/>
        <v>11.220491803278689</v>
      </c>
      <c r="DP245" s="43">
        <f t="shared" si="25"/>
        <v>11.316393442622951</v>
      </c>
      <c r="DQ245" s="43">
        <f t="shared" si="25"/>
        <v>11.412295081967216</v>
      </c>
      <c r="DR245" s="43">
        <f t="shared" si="25"/>
        <v>11.508196721311476</v>
      </c>
      <c r="DS245" s="43">
        <f t="shared" si="25"/>
        <v>11.604098360655739</v>
      </c>
      <c r="DT245" s="43">
        <f t="shared" si="25"/>
        <v>11.700000000000001</v>
      </c>
      <c r="DU245" s="43">
        <f t="shared" si="25"/>
        <v>11.739130434782609</v>
      </c>
      <c r="DV245" s="43">
        <f t="shared" si="25"/>
        <v>11.778260869565218</v>
      </c>
      <c r="DW245" s="43">
        <f t="shared" si="25"/>
        <v>11.817391304347826</v>
      </c>
      <c r="DX245" s="43">
        <f t="shared" si="25"/>
        <v>11.856521739130434</v>
      </c>
      <c r="DY245" s="43">
        <f t="shared" si="25"/>
        <v>11.895652173913044</v>
      </c>
      <c r="DZ245" s="43">
        <f t="shared" ref="DZ245:GK246" si="26">+DZ248*$D$4</f>
        <v>11.934782608695652</v>
      </c>
      <c r="EA245" s="43">
        <f t="shared" si="26"/>
        <v>11.973913043478262</v>
      </c>
      <c r="EB245" s="43">
        <f t="shared" si="26"/>
        <v>12.013043478260871</v>
      </c>
      <c r="EC245" s="43">
        <f t="shared" si="26"/>
        <v>12.052173913043479</v>
      </c>
      <c r="ED245" s="43">
        <f t="shared" si="26"/>
        <v>12.091304347826087</v>
      </c>
      <c r="EE245" s="43">
        <f t="shared" si="26"/>
        <v>12.130434782608695</v>
      </c>
      <c r="EF245" s="43">
        <f t="shared" si="26"/>
        <v>12.169565217391304</v>
      </c>
      <c r="EG245" s="43">
        <f t="shared" si="26"/>
        <v>12.208695652173912</v>
      </c>
      <c r="EH245" s="43">
        <f t="shared" si="26"/>
        <v>12.247826086956524</v>
      </c>
      <c r="EI245" s="43">
        <f t="shared" si="26"/>
        <v>12.286956521739132</v>
      </c>
      <c r="EJ245" s="43">
        <f t="shared" si="26"/>
        <v>12.32608695652174</v>
      </c>
      <c r="EK245" s="43">
        <f t="shared" si="26"/>
        <v>12.365217391304348</v>
      </c>
      <c r="EL245" s="43">
        <f t="shared" si="26"/>
        <v>12.404347826086957</v>
      </c>
      <c r="EM245" s="43">
        <f t="shared" si="26"/>
        <v>12.443478260869565</v>
      </c>
      <c r="EN245" s="43">
        <f t="shared" si="26"/>
        <v>12.482608695652173</v>
      </c>
      <c r="EO245" s="43">
        <f t="shared" si="26"/>
        <v>12.521739130434781</v>
      </c>
      <c r="EP245" s="43">
        <f t="shared" si="26"/>
        <v>12.560869565217391</v>
      </c>
      <c r="EQ245" s="43">
        <f t="shared" si="26"/>
        <v>12.6</v>
      </c>
      <c r="ER245" s="43">
        <f t="shared" si="26"/>
        <v>12.63913043478261</v>
      </c>
      <c r="ES245" s="43">
        <f t="shared" si="26"/>
        <v>12.678260869565218</v>
      </c>
      <c r="ET245" s="43">
        <f t="shared" si="26"/>
        <v>12.717391304347826</v>
      </c>
      <c r="EU245" s="43">
        <f t="shared" si="26"/>
        <v>12.756521739130434</v>
      </c>
      <c r="EV245" s="43">
        <f t="shared" si="26"/>
        <v>12.795652173913044</v>
      </c>
      <c r="EW245" s="43">
        <f t="shared" si="26"/>
        <v>12.834782608695653</v>
      </c>
      <c r="EX245" s="43">
        <f t="shared" si="26"/>
        <v>12.873913043478261</v>
      </c>
      <c r="EY245" s="43">
        <f t="shared" si="26"/>
        <v>12.913043478260869</v>
      </c>
      <c r="EZ245" s="43">
        <f t="shared" si="26"/>
        <v>12.952173913043477</v>
      </c>
      <c r="FA245" s="43">
        <f t="shared" si="26"/>
        <v>12.991304347826087</v>
      </c>
      <c r="FB245" s="43">
        <f t="shared" si="26"/>
        <v>13.030434782608696</v>
      </c>
      <c r="FC245" s="43">
        <f t="shared" si="26"/>
        <v>13.069565217391304</v>
      </c>
      <c r="FD245" s="43">
        <f t="shared" si="26"/>
        <v>13.108695652173914</v>
      </c>
      <c r="FE245" s="43">
        <f t="shared" si="26"/>
        <v>13.147826086956522</v>
      </c>
      <c r="FF245" s="43">
        <f t="shared" si="26"/>
        <v>13.18695652173913</v>
      </c>
      <c r="FG245" s="43">
        <f t="shared" si="26"/>
        <v>13.226086956521739</v>
      </c>
      <c r="FH245" s="43">
        <f t="shared" si="26"/>
        <v>13.265217391304347</v>
      </c>
      <c r="FI245" s="43">
        <f t="shared" si="26"/>
        <v>13.304347826086955</v>
      </c>
      <c r="FJ245" s="43">
        <f t="shared" si="26"/>
        <v>13.343478260869567</v>
      </c>
      <c r="FK245" s="43">
        <f t="shared" si="26"/>
        <v>13.382608695652175</v>
      </c>
      <c r="FL245" s="43">
        <f t="shared" si="26"/>
        <v>13.421739130434784</v>
      </c>
      <c r="FM245" s="43">
        <f t="shared" si="26"/>
        <v>13.460869565217392</v>
      </c>
      <c r="FN245" s="43">
        <f t="shared" si="26"/>
        <v>13.5</v>
      </c>
      <c r="FO245" s="43">
        <f t="shared" si="26"/>
        <v>13.539130434782608</v>
      </c>
      <c r="FP245" s="43">
        <f t="shared" si="26"/>
        <v>13.578260869565216</v>
      </c>
      <c r="FQ245" s="43">
        <f t="shared" si="26"/>
        <v>13.617391304347825</v>
      </c>
      <c r="FR245" s="43">
        <f t="shared" si="26"/>
        <v>13.656521739130433</v>
      </c>
      <c r="FS245" s="43">
        <f t="shared" si="26"/>
        <v>13.695652173913045</v>
      </c>
      <c r="FT245" s="43">
        <f t="shared" si="26"/>
        <v>13.734782608695653</v>
      </c>
      <c r="FU245" s="43">
        <f t="shared" si="26"/>
        <v>13.773913043478261</v>
      </c>
      <c r="FV245" s="43">
        <f t="shared" si="26"/>
        <v>13.81304347826087</v>
      </c>
      <c r="FW245" s="43">
        <f t="shared" si="26"/>
        <v>13.852173913043478</v>
      </c>
      <c r="FX245" s="43">
        <f t="shared" si="26"/>
        <v>13.891304347826086</v>
      </c>
      <c r="FY245" s="43">
        <f t="shared" si="26"/>
        <v>13.930434782608696</v>
      </c>
      <c r="FZ245" s="43">
        <f t="shared" si="26"/>
        <v>13.969565217391304</v>
      </c>
      <c r="GA245" s="43">
        <f t="shared" si="26"/>
        <v>14.008695652173913</v>
      </c>
      <c r="GB245" s="43">
        <f t="shared" si="26"/>
        <v>14.047826086956523</v>
      </c>
      <c r="GC245" s="43">
        <f t="shared" si="26"/>
        <v>14.086956521739131</v>
      </c>
      <c r="GD245" s="43">
        <f t="shared" si="26"/>
        <v>14.126086956521739</v>
      </c>
      <c r="GE245" s="43">
        <f t="shared" si="26"/>
        <v>14.165217391304347</v>
      </c>
      <c r="GF245" s="43">
        <f t="shared" si="26"/>
        <v>14.204347826086956</v>
      </c>
      <c r="GG245" s="43">
        <f t="shared" si="26"/>
        <v>14.243478260869566</v>
      </c>
      <c r="GH245" s="43">
        <f t="shared" si="26"/>
        <v>14.282608695652174</v>
      </c>
      <c r="GI245" s="43">
        <f t="shared" si="26"/>
        <v>14.321739130434782</v>
      </c>
      <c r="GJ245" s="43">
        <f t="shared" si="26"/>
        <v>14.36086956521739</v>
      </c>
      <c r="GK245" s="43">
        <f t="shared" si="26"/>
        <v>14.4</v>
      </c>
      <c r="GL245" s="43">
        <f t="shared" ref="GL245:IW246" si="27">+GL248*$D$4</f>
        <v>14.439130434782609</v>
      </c>
      <c r="GM245" s="43">
        <f t="shared" si="27"/>
        <v>14.478260869565219</v>
      </c>
      <c r="GN245" s="43">
        <f t="shared" si="27"/>
        <v>14.517391304347827</v>
      </c>
      <c r="GO245" s="43">
        <f t="shared" si="27"/>
        <v>14.556521739130435</v>
      </c>
      <c r="GP245" s="43">
        <f t="shared" si="27"/>
        <v>14.595652173913043</v>
      </c>
      <c r="GQ245" s="43">
        <f t="shared" si="27"/>
        <v>14.634782608695652</v>
      </c>
      <c r="GR245" s="43">
        <f t="shared" si="27"/>
        <v>14.67391304347826</v>
      </c>
      <c r="GS245" s="43">
        <f t="shared" si="27"/>
        <v>14.713043478260868</v>
      </c>
      <c r="GT245" s="43">
        <f t="shared" si="27"/>
        <v>14.752173913043478</v>
      </c>
      <c r="GU245" s="43">
        <f t="shared" si="27"/>
        <v>14.791304347826088</v>
      </c>
      <c r="GV245" s="43">
        <f t="shared" si="27"/>
        <v>14.830434782608696</v>
      </c>
      <c r="GW245" s="43">
        <f t="shared" si="27"/>
        <v>14.869565217391305</v>
      </c>
      <c r="GX245" s="43">
        <f t="shared" si="27"/>
        <v>14.908695652173913</v>
      </c>
      <c r="GY245" s="43">
        <f t="shared" si="27"/>
        <v>14.947826086956521</v>
      </c>
      <c r="GZ245" s="43">
        <f t="shared" si="27"/>
        <v>14.986956521739129</v>
      </c>
      <c r="HA245" s="43">
        <f t="shared" si="27"/>
        <v>15.026086956521738</v>
      </c>
      <c r="HB245" s="43">
        <f t="shared" si="27"/>
        <v>15.065217391304348</v>
      </c>
      <c r="HC245" s="43">
        <f t="shared" si="27"/>
        <v>15.104347826086958</v>
      </c>
      <c r="HD245" s="43">
        <f t="shared" si="27"/>
        <v>15.143478260869564</v>
      </c>
      <c r="HE245" s="43">
        <f t="shared" si="27"/>
        <v>15.182608695652174</v>
      </c>
      <c r="HF245" s="43">
        <f t="shared" si="27"/>
        <v>15.221739130434782</v>
      </c>
      <c r="HG245" s="43">
        <f t="shared" si="27"/>
        <v>15.260869565217391</v>
      </c>
      <c r="HH245" s="43">
        <f t="shared" si="27"/>
        <v>15.299999999999999</v>
      </c>
      <c r="HI245" s="43">
        <f t="shared" si="27"/>
        <v>15.196721311475409</v>
      </c>
      <c r="HJ245" s="43">
        <f t="shared" si="27"/>
        <v>15.093442622950819</v>
      </c>
      <c r="HK245" s="43">
        <f t="shared" si="27"/>
        <v>14.99016393442623</v>
      </c>
      <c r="HL245" s="43">
        <f t="shared" si="27"/>
        <v>14.886885245901638</v>
      </c>
      <c r="HM245" s="43">
        <f t="shared" si="27"/>
        <v>14.783606557377048</v>
      </c>
      <c r="HN245" s="43">
        <f t="shared" si="27"/>
        <v>14.680327868852459</v>
      </c>
      <c r="HO245" s="43">
        <f t="shared" si="27"/>
        <v>14.577049180327867</v>
      </c>
      <c r="HP245" s="43">
        <f t="shared" si="27"/>
        <v>14.473770491803279</v>
      </c>
      <c r="HQ245" s="43">
        <f t="shared" si="27"/>
        <v>14.370491803278687</v>
      </c>
      <c r="HR245" s="43">
        <f t="shared" si="27"/>
        <v>14.267213114754099</v>
      </c>
      <c r="HS245" s="43">
        <f t="shared" si="27"/>
        <v>14.163934426229508</v>
      </c>
      <c r="HT245" s="43">
        <f t="shared" si="27"/>
        <v>14.060655737704916</v>
      </c>
      <c r="HU245" s="43">
        <f t="shared" si="27"/>
        <v>13.957377049180328</v>
      </c>
      <c r="HV245" s="43">
        <f t="shared" si="27"/>
        <v>13.854098360655737</v>
      </c>
      <c r="HW245" s="43">
        <f t="shared" si="27"/>
        <v>13.750819672131147</v>
      </c>
      <c r="HX245" s="43">
        <f t="shared" si="27"/>
        <v>13.647540983606557</v>
      </c>
      <c r="HY245" s="43">
        <f t="shared" si="27"/>
        <v>13.544262295081968</v>
      </c>
      <c r="HZ245" s="43">
        <f t="shared" si="27"/>
        <v>13.440983606557378</v>
      </c>
      <c r="IA245" s="43">
        <f t="shared" si="27"/>
        <v>13.337704918032786</v>
      </c>
      <c r="IB245" s="43">
        <f t="shared" si="27"/>
        <v>13.234426229508196</v>
      </c>
      <c r="IC245" s="43">
        <f t="shared" si="27"/>
        <v>13.131147540983607</v>
      </c>
      <c r="ID245" s="43">
        <f t="shared" si="27"/>
        <v>13.027868852459017</v>
      </c>
      <c r="IE245" s="43">
        <f t="shared" si="27"/>
        <v>12.924590163934425</v>
      </c>
      <c r="IF245" s="43">
        <f t="shared" si="27"/>
        <v>12.821311475409836</v>
      </c>
      <c r="IG245" s="43">
        <f t="shared" si="27"/>
        <v>12.718032786885246</v>
      </c>
      <c r="IH245" s="43">
        <f t="shared" si="27"/>
        <v>12.614754098360654</v>
      </c>
      <c r="II245" s="43">
        <f t="shared" si="27"/>
        <v>12.511475409836066</v>
      </c>
      <c r="IJ245" s="43">
        <f t="shared" si="27"/>
        <v>12.408196721311475</v>
      </c>
      <c r="IK245" s="43">
        <f t="shared" si="27"/>
        <v>12.304918032786883</v>
      </c>
      <c r="IL245" s="43">
        <f t="shared" si="27"/>
        <v>12.201639344262295</v>
      </c>
      <c r="IM245" s="43">
        <f t="shared" si="27"/>
        <v>12.098360655737704</v>
      </c>
      <c r="IN245" s="43">
        <f t="shared" si="27"/>
        <v>11.995081967213114</v>
      </c>
      <c r="IO245" s="43">
        <f t="shared" si="27"/>
        <v>11.891803278688524</v>
      </c>
      <c r="IP245" s="43">
        <f t="shared" si="27"/>
        <v>11.788524590163934</v>
      </c>
      <c r="IQ245" s="43">
        <f t="shared" si="27"/>
        <v>11.685245901639343</v>
      </c>
      <c r="IR245" s="43">
        <f t="shared" si="27"/>
        <v>11.581967213114755</v>
      </c>
      <c r="IS245" s="43">
        <f t="shared" si="27"/>
        <v>11.478688524590163</v>
      </c>
      <c r="IT245" s="43">
        <f t="shared" si="27"/>
        <v>11.375409836065574</v>
      </c>
      <c r="IU245" s="43">
        <f t="shared" si="27"/>
        <v>11.272131147540984</v>
      </c>
      <c r="IV245" s="43">
        <f t="shared" si="27"/>
        <v>11.168852459016394</v>
      </c>
      <c r="IW245" s="43">
        <f t="shared" si="27"/>
        <v>11.065573770491804</v>
      </c>
      <c r="IX245" s="43">
        <f t="shared" ref="IX245:LI246" si="28">+IX248*$D$4</f>
        <v>10.962295081967213</v>
      </c>
      <c r="IY245" s="43">
        <f t="shared" si="28"/>
        <v>10.859016393442623</v>
      </c>
      <c r="IZ245" s="43">
        <f t="shared" si="28"/>
        <v>10.755737704918033</v>
      </c>
      <c r="JA245" s="43">
        <f t="shared" si="28"/>
        <v>10.652459016393442</v>
      </c>
      <c r="JB245" s="43">
        <f t="shared" si="28"/>
        <v>10.549180327868854</v>
      </c>
      <c r="JC245" s="43">
        <f t="shared" si="28"/>
        <v>10.445901639344262</v>
      </c>
      <c r="JD245" s="43">
        <f t="shared" si="28"/>
        <v>10.342622950819671</v>
      </c>
      <c r="JE245" s="43">
        <f t="shared" si="28"/>
        <v>10.239344262295083</v>
      </c>
      <c r="JF245" s="43">
        <f t="shared" si="28"/>
        <v>10.136065573770491</v>
      </c>
      <c r="JG245" s="43">
        <f t="shared" si="28"/>
        <v>10.032786885245901</v>
      </c>
      <c r="JH245" s="43">
        <f t="shared" si="28"/>
        <v>9.9295081967213115</v>
      </c>
      <c r="JI245" s="43">
        <f t="shared" si="28"/>
        <v>9.8262295081967217</v>
      </c>
      <c r="JJ245" s="43">
        <f t="shared" si="28"/>
        <v>9.7229508196721302</v>
      </c>
      <c r="JK245" s="43">
        <f t="shared" si="28"/>
        <v>9.6196721311475422</v>
      </c>
      <c r="JL245" s="43">
        <f t="shared" si="28"/>
        <v>9.5163934426229506</v>
      </c>
      <c r="JM245" s="43">
        <f t="shared" si="28"/>
        <v>9.4131147540983591</v>
      </c>
      <c r="JN245" s="43">
        <f t="shared" si="28"/>
        <v>9.3098360655737711</v>
      </c>
      <c r="JO245" s="43">
        <f t="shared" si="28"/>
        <v>9.2065573770491795</v>
      </c>
      <c r="JP245" s="43">
        <f t="shared" si="28"/>
        <v>9.1032786885245898</v>
      </c>
      <c r="JQ245" s="43">
        <f t="shared" si="28"/>
        <v>9</v>
      </c>
      <c r="JR245" s="43">
        <f t="shared" si="28"/>
        <v>8.8779661016949145</v>
      </c>
      <c r="JS245" s="43">
        <f t="shared" si="28"/>
        <v>8.7559322033898308</v>
      </c>
      <c r="JT245" s="43">
        <f t="shared" si="28"/>
        <v>8.6338983050847453</v>
      </c>
      <c r="JU245" s="43">
        <f t="shared" si="28"/>
        <v>8.5118644067796616</v>
      </c>
      <c r="JV245" s="43">
        <f t="shared" si="28"/>
        <v>8.3898305084745761</v>
      </c>
      <c r="JW245" s="43">
        <f t="shared" si="28"/>
        <v>8.2677966101694906</v>
      </c>
      <c r="JX245" s="43">
        <f t="shared" si="28"/>
        <v>8.1457627118644069</v>
      </c>
      <c r="JY245" s="43">
        <f t="shared" si="28"/>
        <v>8.0237288135593214</v>
      </c>
      <c r="JZ245" s="43">
        <f t="shared" si="28"/>
        <v>7.9016949152542368</v>
      </c>
      <c r="KA245" s="43">
        <f t="shared" si="28"/>
        <v>7.7796610169491522</v>
      </c>
      <c r="KB245" s="43">
        <f t="shared" si="28"/>
        <v>7.6576271186440676</v>
      </c>
      <c r="KC245" s="43">
        <f t="shared" si="28"/>
        <v>7.535593220338983</v>
      </c>
      <c r="KD245" s="43">
        <f t="shared" si="28"/>
        <v>7.4135593220338984</v>
      </c>
      <c r="KE245" s="43">
        <f t="shared" si="28"/>
        <v>7.2915254237288138</v>
      </c>
      <c r="KF245" s="43">
        <f t="shared" si="28"/>
        <v>7.1694915254237284</v>
      </c>
      <c r="KG245" s="43">
        <f t="shared" si="28"/>
        <v>7.0474576271186438</v>
      </c>
      <c r="KH245" s="43">
        <f t="shared" si="28"/>
        <v>6.9254237288135592</v>
      </c>
      <c r="KI245" s="43">
        <f t="shared" si="28"/>
        <v>6.8033898305084746</v>
      </c>
      <c r="KJ245" s="43">
        <f t="shared" si="28"/>
        <v>6.6813559322033891</v>
      </c>
      <c r="KK245" s="43">
        <f t="shared" si="28"/>
        <v>6.5593220338983045</v>
      </c>
      <c r="KL245" s="43">
        <f t="shared" si="28"/>
        <v>6.4372881355932208</v>
      </c>
      <c r="KM245" s="43">
        <f t="shared" si="28"/>
        <v>6.3152542372881362</v>
      </c>
      <c r="KN245" s="43">
        <f t="shared" si="28"/>
        <v>6.1932203389830516</v>
      </c>
      <c r="KO245" s="43">
        <f t="shared" si="28"/>
        <v>6.0711864406779661</v>
      </c>
      <c r="KP245" s="43">
        <f t="shared" si="28"/>
        <v>5.9491525423728815</v>
      </c>
      <c r="KQ245" s="43">
        <f t="shared" si="28"/>
        <v>5.8271186440677969</v>
      </c>
      <c r="KR245" s="43">
        <f t="shared" si="28"/>
        <v>5.7050847457627114</v>
      </c>
      <c r="KS245" s="43">
        <f t="shared" si="28"/>
        <v>5.5830508474576268</v>
      </c>
      <c r="KT245" s="43">
        <f t="shared" si="28"/>
        <v>5.4610169491525422</v>
      </c>
      <c r="KU245" s="43">
        <f t="shared" si="28"/>
        <v>5.3389830508474576</v>
      </c>
      <c r="KV245" s="43">
        <f t="shared" si="28"/>
        <v>5.216949152542373</v>
      </c>
      <c r="KW245" s="43">
        <f t="shared" si="28"/>
        <v>5.0949152542372875</v>
      </c>
      <c r="KX245" s="43">
        <f t="shared" si="28"/>
        <v>4.9728813559322029</v>
      </c>
      <c r="KY245" s="43">
        <f t="shared" si="28"/>
        <v>4.8508474576271183</v>
      </c>
      <c r="KZ245" s="43">
        <f t="shared" si="28"/>
        <v>4.7288135593220328</v>
      </c>
      <c r="LA245" s="43">
        <f t="shared" si="28"/>
        <v>4.6067796610169482</v>
      </c>
      <c r="LB245" s="43">
        <f t="shared" si="28"/>
        <v>4.4847457627118636</v>
      </c>
      <c r="LC245" s="43">
        <f t="shared" si="28"/>
        <v>4.362711864406779</v>
      </c>
      <c r="LD245" s="43">
        <f t="shared" si="28"/>
        <v>4.2406779661016945</v>
      </c>
      <c r="LE245" s="43">
        <f t="shared" si="28"/>
        <v>4.118644067796609</v>
      </c>
      <c r="LF245" s="43">
        <f t="shared" si="28"/>
        <v>3.9966101694915253</v>
      </c>
      <c r="LG245" s="43">
        <f t="shared" si="28"/>
        <v>3.8745762711864407</v>
      </c>
      <c r="LH245" s="43">
        <f t="shared" si="28"/>
        <v>3.7525423728813556</v>
      </c>
      <c r="LI245" s="43">
        <f t="shared" si="28"/>
        <v>3.630508474576271</v>
      </c>
      <c r="LJ245" s="43">
        <f t="shared" ref="LJ245:NB246" si="29">+LJ248*$D$4</f>
        <v>3.508474576271186</v>
      </c>
      <c r="LK245" s="43">
        <f t="shared" si="29"/>
        <v>3.3864406779661014</v>
      </c>
      <c r="LL245" s="43">
        <f t="shared" si="29"/>
        <v>3.2644067796610163</v>
      </c>
      <c r="LM245" s="43">
        <f t="shared" si="29"/>
        <v>3.1423728813559317</v>
      </c>
      <c r="LN245" s="43">
        <f t="shared" si="29"/>
        <v>3.0203389830508467</v>
      </c>
      <c r="LO245" s="43">
        <f t="shared" si="29"/>
        <v>2.8983050847457621</v>
      </c>
      <c r="LP245" s="43">
        <f t="shared" si="29"/>
        <v>2.7762711864406771</v>
      </c>
      <c r="LQ245" s="43">
        <f t="shared" si="29"/>
        <v>2.6542372881355925</v>
      </c>
      <c r="LR245" s="43">
        <f t="shared" si="29"/>
        <v>2.5322033898305074</v>
      </c>
      <c r="LS245" s="43">
        <f t="shared" si="29"/>
        <v>2.4101694915254228</v>
      </c>
      <c r="LT245" s="43">
        <f t="shared" si="29"/>
        <v>2.2881355932203378</v>
      </c>
      <c r="LU245" s="43">
        <f t="shared" si="29"/>
        <v>2.1661016949152541</v>
      </c>
      <c r="LV245" s="43">
        <f t="shared" si="29"/>
        <v>2.044067796610169</v>
      </c>
      <c r="LW245" s="43">
        <f t="shared" si="29"/>
        <v>1.9220338983050844</v>
      </c>
      <c r="LX245" s="43">
        <f t="shared" si="29"/>
        <v>1.7999999999999996</v>
      </c>
      <c r="LY245" s="43">
        <f t="shared" si="29"/>
        <v>1.741935483870968</v>
      </c>
      <c r="LZ245" s="43">
        <f t="shared" si="29"/>
        <v>1.6838709677419355</v>
      </c>
      <c r="MA245" s="43">
        <f t="shared" si="29"/>
        <v>1.6258064516129034</v>
      </c>
      <c r="MB245" s="43">
        <f t="shared" si="29"/>
        <v>1.5677419354838711</v>
      </c>
      <c r="MC245" s="43">
        <f t="shared" si="29"/>
        <v>1.5096774193548388</v>
      </c>
      <c r="MD245" s="43">
        <f t="shared" si="29"/>
        <v>1.4516129032258067</v>
      </c>
      <c r="ME245" s="43">
        <f t="shared" si="29"/>
        <v>1.3935483870967742</v>
      </c>
      <c r="MF245" s="43">
        <f t="shared" si="29"/>
        <v>1.3354838709677421</v>
      </c>
      <c r="MG245" s="43">
        <f t="shared" si="29"/>
        <v>1.2774193548387096</v>
      </c>
      <c r="MH245" s="43">
        <f t="shared" si="29"/>
        <v>1.2193548387096775</v>
      </c>
      <c r="MI245" s="43">
        <f t="shared" si="29"/>
        <v>1.161290322580645</v>
      </c>
      <c r="MJ245" s="43">
        <f t="shared" si="29"/>
        <v>1.1032258064516129</v>
      </c>
      <c r="MK245" s="43">
        <f t="shared" si="29"/>
        <v>1.0451612903225806</v>
      </c>
      <c r="ML245" s="43">
        <f t="shared" si="29"/>
        <v>0.98709677419354858</v>
      </c>
      <c r="MM245" s="43">
        <f t="shared" si="29"/>
        <v>0.92903225806451628</v>
      </c>
      <c r="MN245" s="43">
        <f t="shared" si="29"/>
        <v>0.87096774193548399</v>
      </c>
      <c r="MO245" s="43">
        <f t="shared" si="29"/>
        <v>0.81290322580645169</v>
      </c>
      <c r="MP245" s="43">
        <f t="shared" si="29"/>
        <v>0.75483870967741939</v>
      </c>
      <c r="MQ245" s="43">
        <f t="shared" si="29"/>
        <v>0.69677419354838721</v>
      </c>
      <c r="MR245" s="43">
        <f t="shared" si="29"/>
        <v>0.63870967741935503</v>
      </c>
      <c r="MS245" s="43">
        <f t="shared" si="29"/>
        <v>0.58064516129032251</v>
      </c>
      <c r="MT245" s="43">
        <f t="shared" si="29"/>
        <v>0.52258064516129044</v>
      </c>
      <c r="MU245" s="43">
        <f t="shared" si="29"/>
        <v>0.46451612903225825</v>
      </c>
      <c r="MV245" s="43">
        <f t="shared" si="29"/>
        <v>0.40645161290322585</v>
      </c>
      <c r="MW245" s="43">
        <f t="shared" si="29"/>
        <v>0.34838709677419366</v>
      </c>
      <c r="MX245" s="43">
        <f t="shared" si="29"/>
        <v>0.29032258064516125</v>
      </c>
      <c r="MY245" s="43">
        <f t="shared" si="29"/>
        <v>0.23225806451612913</v>
      </c>
      <c r="MZ245" s="43">
        <f t="shared" si="29"/>
        <v>0.17419354838709697</v>
      </c>
      <c r="NA245" s="43">
        <f t="shared" si="29"/>
        <v>0.11612903225806456</v>
      </c>
      <c r="NB245" s="17">
        <f t="shared" si="29"/>
        <v>5.8064516129032406E-2</v>
      </c>
    </row>
    <row r="246" spans="1:1098" x14ac:dyDescent="0.35">
      <c r="A246" s="4" t="s">
        <v>24</v>
      </c>
      <c r="B246" s="43">
        <f t="shared" si="24"/>
        <v>18</v>
      </c>
      <c r="C246" s="43">
        <f t="shared" si="24"/>
        <v>18</v>
      </c>
      <c r="D246" s="43">
        <f t="shared" si="24"/>
        <v>18</v>
      </c>
      <c r="E246" s="43">
        <f t="shared" si="24"/>
        <v>18</v>
      </c>
      <c r="F246" s="43">
        <f t="shared" si="24"/>
        <v>18</v>
      </c>
      <c r="G246" s="43">
        <f t="shared" si="24"/>
        <v>18</v>
      </c>
      <c r="H246" s="43">
        <f t="shared" si="24"/>
        <v>18</v>
      </c>
      <c r="I246" s="43">
        <f t="shared" si="24"/>
        <v>18</v>
      </c>
      <c r="J246" s="43">
        <f t="shared" si="24"/>
        <v>18</v>
      </c>
      <c r="K246" s="43">
        <f t="shared" si="24"/>
        <v>18</v>
      </c>
      <c r="L246" s="43">
        <f t="shared" si="24"/>
        <v>18</v>
      </c>
      <c r="M246" s="43">
        <f t="shared" si="24"/>
        <v>18</v>
      </c>
      <c r="N246" s="43">
        <f t="shared" si="24"/>
        <v>18</v>
      </c>
      <c r="O246" s="43">
        <f t="shared" si="24"/>
        <v>18</v>
      </c>
      <c r="P246" s="43">
        <f t="shared" si="24"/>
        <v>18</v>
      </c>
      <c r="Q246" s="43">
        <f t="shared" si="24"/>
        <v>18</v>
      </c>
      <c r="R246" s="43">
        <f t="shared" si="24"/>
        <v>18</v>
      </c>
      <c r="S246" s="43">
        <f t="shared" si="24"/>
        <v>18</v>
      </c>
      <c r="T246" s="43">
        <f t="shared" si="24"/>
        <v>18</v>
      </c>
      <c r="U246" s="43">
        <f t="shared" si="24"/>
        <v>18</v>
      </c>
      <c r="V246" s="43">
        <f t="shared" si="24"/>
        <v>18</v>
      </c>
      <c r="W246" s="43">
        <f t="shared" si="24"/>
        <v>18</v>
      </c>
      <c r="X246" s="43">
        <f t="shared" si="24"/>
        <v>18</v>
      </c>
      <c r="Y246" s="43">
        <f t="shared" si="24"/>
        <v>18</v>
      </c>
      <c r="Z246" s="43">
        <f t="shared" si="24"/>
        <v>18</v>
      </c>
      <c r="AA246" s="43">
        <f t="shared" si="24"/>
        <v>18</v>
      </c>
      <c r="AB246" s="43">
        <f t="shared" si="24"/>
        <v>18</v>
      </c>
      <c r="AC246" s="43">
        <f t="shared" si="24"/>
        <v>18</v>
      </c>
      <c r="AD246" s="43">
        <f t="shared" si="24"/>
        <v>18</v>
      </c>
      <c r="AE246" s="43">
        <f t="shared" si="24"/>
        <v>18</v>
      </c>
      <c r="AF246" s="43">
        <f t="shared" si="24"/>
        <v>18</v>
      </c>
      <c r="AG246" s="43">
        <f t="shared" si="24"/>
        <v>18</v>
      </c>
      <c r="AH246" s="43">
        <f t="shared" si="24"/>
        <v>18</v>
      </c>
      <c r="AI246" s="43">
        <f t="shared" si="24"/>
        <v>18</v>
      </c>
      <c r="AJ246" s="43">
        <f t="shared" si="24"/>
        <v>18</v>
      </c>
      <c r="AK246" s="43">
        <f t="shared" si="24"/>
        <v>18</v>
      </c>
      <c r="AL246" s="43">
        <f t="shared" si="24"/>
        <v>18</v>
      </c>
      <c r="AM246" s="43">
        <f t="shared" si="24"/>
        <v>18</v>
      </c>
      <c r="AN246" s="43">
        <f t="shared" si="24"/>
        <v>18</v>
      </c>
      <c r="AO246" s="43">
        <f t="shared" si="24"/>
        <v>18</v>
      </c>
      <c r="AP246" s="43">
        <f t="shared" si="24"/>
        <v>18</v>
      </c>
      <c r="AQ246" s="43">
        <f t="shared" si="24"/>
        <v>18</v>
      </c>
      <c r="AR246" s="43">
        <f t="shared" si="24"/>
        <v>18</v>
      </c>
      <c r="AS246" s="43">
        <f t="shared" si="24"/>
        <v>18</v>
      </c>
      <c r="AT246" s="43">
        <f t="shared" si="24"/>
        <v>18</v>
      </c>
      <c r="AU246" s="43">
        <f t="shared" si="24"/>
        <v>18</v>
      </c>
      <c r="AV246" s="43">
        <f t="shared" si="24"/>
        <v>18</v>
      </c>
      <c r="AW246" s="43">
        <f t="shared" si="24"/>
        <v>18</v>
      </c>
      <c r="AX246" s="43">
        <f t="shared" si="24"/>
        <v>18</v>
      </c>
      <c r="AY246" s="43">
        <f t="shared" si="24"/>
        <v>18</v>
      </c>
      <c r="AZ246" s="43">
        <f t="shared" si="24"/>
        <v>18</v>
      </c>
      <c r="BA246" s="43">
        <f t="shared" si="24"/>
        <v>18</v>
      </c>
      <c r="BB246" s="43">
        <f t="shared" si="24"/>
        <v>18</v>
      </c>
      <c r="BC246" s="43">
        <f t="shared" si="24"/>
        <v>18</v>
      </c>
      <c r="BD246" s="43">
        <f t="shared" si="24"/>
        <v>18</v>
      </c>
      <c r="BE246" s="43">
        <f t="shared" si="24"/>
        <v>18</v>
      </c>
      <c r="BF246" s="43">
        <f t="shared" si="24"/>
        <v>18</v>
      </c>
      <c r="BG246" s="43">
        <f t="shared" si="24"/>
        <v>18</v>
      </c>
      <c r="BH246" s="43">
        <f t="shared" si="24"/>
        <v>18</v>
      </c>
      <c r="BI246" s="43">
        <f t="shared" si="24"/>
        <v>18</v>
      </c>
      <c r="BJ246" s="43">
        <f t="shared" si="24"/>
        <v>18</v>
      </c>
      <c r="BK246" s="43">
        <f t="shared" si="24"/>
        <v>18</v>
      </c>
      <c r="BL246" s="43">
        <f t="shared" si="24"/>
        <v>18</v>
      </c>
      <c r="BM246" s="43">
        <f t="shared" si="24"/>
        <v>18</v>
      </c>
      <c r="BN246" s="43">
        <f t="shared" si="25"/>
        <v>18</v>
      </c>
      <c r="BO246" s="43">
        <f t="shared" si="25"/>
        <v>18</v>
      </c>
      <c r="BP246" s="43">
        <f t="shared" si="25"/>
        <v>18</v>
      </c>
      <c r="BQ246" s="43">
        <f t="shared" si="25"/>
        <v>18</v>
      </c>
      <c r="BR246" s="43">
        <f t="shared" si="25"/>
        <v>18</v>
      </c>
      <c r="BS246" s="43">
        <f t="shared" si="25"/>
        <v>18</v>
      </c>
      <c r="BT246" s="43">
        <f t="shared" si="25"/>
        <v>18</v>
      </c>
      <c r="BU246" s="43">
        <f t="shared" si="25"/>
        <v>18</v>
      </c>
      <c r="BV246" s="43">
        <f t="shared" si="25"/>
        <v>18</v>
      </c>
      <c r="BW246" s="43">
        <f t="shared" si="25"/>
        <v>18</v>
      </c>
      <c r="BX246" s="43">
        <f t="shared" si="25"/>
        <v>18</v>
      </c>
      <c r="BY246" s="43">
        <f t="shared" si="25"/>
        <v>18</v>
      </c>
      <c r="BZ246" s="43">
        <f t="shared" si="25"/>
        <v>18</v>
      </c>
      <c r="CA246" s="43">
        <f t="shared" si="25"/>
        <v>18</v>
      </c>
      <c r="CB246" s="43">
        <f t="shared" si="25"/>
        <v>18</v>
      </c>
      <c r="CC246" s="43">
        <f t="shared" si="25"/>
        <v>18</v>
      </c>
      <c r="CD246" s="43">
        <f t="shared" si="25"/>
        <v>18</v>
      </c>
      <c r="CE246" s="43">
        <f t="shared" si="25"/>
        <v>18</v>
      </c>
      <c r="CF246" s="43">
        <f t="shared" si="25"/>
        <v>18</v>
      </c>
      <c r="CG246" s="43">
        <f t="shared" si="25"/>
        <v>18</v>
      </c>
      <c r="CH246" s="43">
        <f t="shared" si="25"/>
        <v>18</v>
      </c>
      <c r="CI246" s="43">
        <f t="shared" si="25"/>
        <v>18</v>
      </c>
      <c r="CJ246" s="43">
        <f t="shared" si="25"/>
        <v>18</v>
      </c>
      <c r="CK246" s="43">
        <f t="shared" si="25"/>
        <v>18</v>
      </c>
      <c r="CL246" s="43">
        <f t="shared" si="25"/>
        <v>18</v>
      </c>
      <c r="CM246" s="43">
        <f t="shared" si="25"/>
        <v>18</v>
      </c>
      <c r="CN246" s="43">
        <f t="shared" si="25"/>
        <v>18</v>
      </c>
      <c r="CO246" s="43">
        <f t="shared" si="25"/>
        <v>18</v>
      </c>
      <c r="CP246" s="43">
        <f t="shared" si="25"/>
        <v>18</v>
      </c>
      <c r="CQ246" s="43">
        <f t="shared" si="25"/>
        <v>18</v>
      </c>
      <c r="CR246" s="43">
        <f t="shared" si="25"/>
        <v>18</v>
      </c>
      <c r="CS246" s="43">
        <f t="shared" si="25"/>
        <v>18</v>
      </c>
      <c r="CT246" s="43">
        <f t="shared" si="25"/>
        <v>18</v>
      </c>
      <c r="CU246" s="43">
        <f t="shared" si="25"/>
        <v>18</v>
      </c>
      <c r="CV246" s="43">
        <f t="shared" si="25"/>
        <v>18</v>
      </c>
      <c r="CW246" s="43">
        <f t="shared" si="25"/>
        <v>18</v>
      </c>
      <c r="CX246" s="43">
        <f t="shared" si="25"/>
        <v>18</v>
      </c>
      <c r="CY246" s="43">
        <f t="shared" si="25"/>
        <v>18</v>
      </c>
      <c r="CZ246" s="43">
        <f t="shared" si="25"/>
        <v>18</v>
      </c>
      <c r="DA246" s="43">
        <f t="shared" si="25"/>
        <v>18</v>
      </c>
      <c r="DB246" s="43">
        <f t="shared" si="25"/>
        <v>18</v>
      </c>
      <c r="DC246" s="43">
        <f t="shared" si="25"/>
        <v>18</v>
      </c>
      <c r="DD246" s="43">
        <f t="shared" si="25"/>
        <v>18</v>
      </c>
      <c r="DE246" s="43">
        <f t="shared" si="25"/>
        <v>18</v>
      </c>
      <c r="DF246" s="43">
        <f t="shared" si="25"/>
        <v>18</v>
      </c>
      <c r="DG246" s="43">
        <f t="shared" si="25"/>
        <v>18</v>
      </c>
      <c r="DH246" s="43">
        <f t="shared" si="25"/>
        <v>18</v>
      </c>
      <c r="DI246" s="43">
        <f t="shared" si="25"/>
        <v>18</v>
      </c>
      <c r="DJ246" s="43">
        <f t="shared" si="25"/>
        <v>18</v>
      </c>
      <c r="DK246" s="43">
        <f t="shared" si="25"/>
        <v>18</v>
      </c>
      <c r="DL246" s="43">
        <f t="shared" si="25"/>
        <v>18</v>
      </c>
      <c r="DM246" s="43">
        <f t="shared" si="25"/>
        <v>18</v>
      </c>
      <c r="DN246" s="43">
        <f t="shared" si="25"/>
        <v>18</v>
      </c>
      <c r="DO246" s="43">
        <f t="shared" si="25"/>
        <v>18</v>
      </c>
      <c r="DP246" s="43">
        <f t="shared" si="25"/>
        <v>18</v>
      </c>
      <c r="DQ246" s="43">
        <f t="shared" si="25"/>
        <v>18</v>
      </c>
      <c r="DR246" s="43">
        <f t="shared" si="25"/>
        <v>18</v>
      </c>
      <c r="DS246" s="43">
        <f t="shared" si="25"/>
        <v>18</v>
      </c>
      <c r="DT246" s="43">
        <f t="shared" si="25"/>
        <v>18</v>
      </c>
      <c r="DU246" s="43">
        <f t="shared" si="25"/>
        <v>18</v>
      </c>
      <c r="DV246" s="43">
        <f t="shared" si="25"/>
        <v>18</v>
      </c>
      <c r="DW246" s="43">
        <f t="shared" si="25"/>
        <v>18</v>
      </c>
      <c r="DX246" s="43">
        <f t="shared" si="25"/>
        <v>18</v>
      </c>
      <c r="DY246" s="43">
        <f t="shared" si="25"/>
        <v>18</v>
      </c>
      <c r="DZ246" s="43">
        <f t="shared" si="26"/>
        <v>18</v>
      </c>
      <c r="EA246" s="43">
        <f t="shared" si="26"/>
        <v>18</v>
      </c>
      <c r="EB246" s="43">
        <f t="shared" si="26"/>
        <v>18</v>
      </c>
      <c r="EC246" s="43">
        <f t="shared" si="26"/>
        <v>18</v>
      </c>
      <c r="ED246" s="43">
        <f t="shared" si="26"/>
        <v>18</v>
      </c>
      <c r="EE246" s="43">
        <f t="shared" si="26"/>
        <v>18</v>
      </c>
      <c r="EF246" s="43">
        <f t="shared" si="26"/>
        <v>18</v>
      </c>
      <c r="EG246" s="43">
        <f t="shared" si="26"/>
        <v>18</v>
      </c>
      <c r="EH246" s="43">
        <f t="shared" si="26"/>
        <v>18</v>
      </c>
      <c r="EI246" s="43">
        <f t="shared" si="26"/>
        <v>18</v>
      </c>
      <c r="EJ246" s="43">
        <f t="shared" si="26"/>
        <v>18</v>
      </c>
      <c r="EK246" s="43">
        <f t="shared" si="26"/>
        <v>18</v>
      </c>
      <c r="EL246" s="43">
        <f t="shared" si="26"/>
        <v>18</v>
      </c>
      <c r="EM246" s="43">
        <f t="shared" si="26"/>
        <v>18</v>
      </c>
      <c r="EN246" s="43">
        <f t="shared" si="26"/>
        <v>18</v>
      </c>
      <c r="EO246" s="43">
        <f t="shared" si="26"/>
        <v>18</v>
      </c>
      <c r="EP246" s="43">
        <f t="shared" si="26"/>
        <v>18</v>
      </c>
      <c r="EQ246" s="43">
        <f t="shared" si="26"/>
        <v>18</v>
      </c>
      <c r="ER246" s="43">
        <f t="shared" si="26"/>
        <v>18</v>
      </c>
      <c r="ES246" s="43">
        <f t="shared" si="26"/>
        <v>18</v>
      </c>
      <c r="ET246" s="43">
        <f t="shared" si="26"/>
        <v>18</v>
      </c>
      <c r="EU246" s="43">
        <f t="shared" si="26"/>
        <v>18</v>
      </c>
      <c r="EV246" s="43">
        <f t="shared" si="26"/>
        <v>18</v>
      </c>
      <c r="EW246" s="43">
        <f t="shared" si="26"/>
        <v>18</v>
      </c>
      <c r="EX246" s="43">
        <f t="shared" si="26"/>
        <v>18</v>
      </c>
      <c r="EY246" s="43">
        <f t="shared" si="26"/>
        <v>18</v>
      </c>
      <c r="EZ246" s="43">
        <f t="shared" si="26"/>
        <v>18</v>
      </c>
      <c r="FA246" s="43">
        <f t="shared" si="26"/>
        <v>18</v>
      </c>
      <c r="FB246" s="43">
        <f t="shared" si="26"/>
        <v>18</v>
      </c>
      <c r="FC246" s="43">
        <f t="shared" si="26"/>
        <v>18</v>
      </c>
      <c r="FD246" s="43">
        <f t="shared" si="26"/>
        <v>18</v>
      </c>
      <c r="FE246" s="43">
        <f t="shared" si="26"/>
        <v>18</v>
      </c>
      <c r="FF246" s="43">
        <f t="shared" si="26"/>
        <v>18</v>
      </c>
      <c r="FG246" s="43">
        <f t="shared" si="26"/>
        <v>18</v>
      </c>
      <c r="FH246" s="43">
        <f t="shared" si="26"/>
        <v>18</v>
      </c>
      <c r="FI246" s="43">
        <f t="shared" si="26"/>
        <v>18</v>
      </c>
      <c r="FJ246" s="43">
        <f t="shared" si="26"/>
        <v>18</v>
      </c>
      <c r="FK246" s="43">
        <f t="shared" si="26"/>
        <v>18</v>
      </c>
      <c r="FL246" s="43">
        <f t="shared" si="26"/>
        <v>18</v>
      </c>
      <c r="FM246" s="43">
        <f t="shared" si="26"/>
        <v>18</v>
      </c>
      <c r="FN246" s="43">
        <f t="shared" si="26"/>
        <v>18</v>
      </c>
      <c r="FO246" s="43">
        <f t="shared" si="26"/>
        <v>18</v>
      </c>
      <c r="FP246" s="43">
        <f t="shared" si="26"/>
        <v>18</v>
      </c>
      <c r="FQ246" s="43">
        <f t="shared" si="26"/>
        <v>18</v>
      </c>
      <c r="FR246" s="43">
        <f t="shared" si="26"/>
        <v>18</v>
      </c>
      <c r="FS246" s="43">
        <f t="shared" si="26"/>
        <v>18</v>
      </c>
      <c r="FT246" s="43">
        <f t="shared" si="26"/>
        <v>18</v>
      </c>
      <c r="FU246" s="43">
        <f t="shared" si="26"/>
        <v>18</v>
      </c>
      <c r="FV246" s="43">
        <f t="shared" si="26"/>
        <v>18</v>
      </c>
      <c r="FW246" s="43">
        <f t="shared" si="26"/>
        <v>18</v>
      </c>
      <c r="FX246" s="43">
        <f t="shared" si="26"/>
        <v>18</v>
      </c>
      <c r="FY246" s="43">
        <f t="shared" si="26"/>
        <v>18</v>
      </c>
      <c r="FZ246" s="43">
        <f t="shared" si="26"/>
        <v>18</v>
      </c>
      <c r="GA246" s="43">
        <f t="shared" si="26"/>
        <v>18</v>
      </c>
      <c r="GB246" s="43">
        <f t="shared" si="26"/>
        <v>18</v>
      </c>
      <c r="GC246" s="43">
        <f t="shared" si="26"/>
        <v>18</v>
      </c>
      <c r="GD246" s="43">
        <f t="shared" si="26"/>
        <v>18</v>
      </c>
      <c r="GE246" s="43">
        <f t="shared" si="26"/>
        <v>18</v>
      </c>
      <c r="GF246" s="43">
        <f t="shared" si="26"/>
        <v>18</v>
      </c>
      <c r="GG246" s="43">
        <f t="shared" si="26"/>
        <v>18</v>
      </c>
      <c r="GH246" s="43">
        <f t="shared" si="26"/>
        <v>18</v>
      </c>
      <c r="GI246" s="43">
        <f t="shared" si="26"/>
        <v>18</v>
      </c>
      <c r="GJ246" s="43">
        <f t="shared" si="26"/>
        <v>18</v>
      </c>
      <c r="GK246" s="43">
        <f t="shared" si="26"/>
        <v>18</v>
      </c>
      <c r="GL246" s="43">
        <f t="shared" si="27"/>
        <v>18</v>
      </c>
      <c r="GM246" s="43">
        <f t="shared" si="27"/>
        <v>18</v>
      </c>
      <c r="GN246" s="43">
        <f t="shared" si="27"/>
        <v>18</v>
      </c>
      <c r="GO246" s="43">
        <f t="shared" si="27"/>
        <v>18</v>
      </c>
      <c r="GP246" s="43">
        <f t="shared" si="27"/>
        <v>18</v>
      </c>
      <c r="GQ246" s="43">
        <f t="shared" si="27"/>
        <v>18</v>
      </c>
      <c r="GR246" s="43">
        <f t="shared" si="27"/>
        <v>18</v>
      </c>
      <c r="GS246" s="43">
        <f t="shared" si="27"/>
        <v>18</v>
      </c>
      <c r="GT246" s="43">
        <f t="shared" si="27"/>
        <v>18</v>
      </c>
      <c r="GU246" s="43">
        <f t="shared" si="27"/>
        <v>18</v>
      </c>
      <c r="GV246" s="43">
        <f t="shared" si="27"/>
        <v>18</v>
      </c>
      <c r="GW246" s="43">
        <f t="shared" si="27"/>
        <v>18</v>
      </c>
      <c r="GX246" s="43">
        <f t="shared" si="27"/>
        <v>18</v>
      </c>
      <c r="GY246" s="43">
        <f t="shared" si="27"/>
        <v>18</v>
      </c>
      <c r="GZ246" s="43">
        <f t="shared" si="27"/>
        <v>18</v>
      </c>
      <c r="HA246" s="43">
        <f t="shared" si="27"/>
        <v>18</v>
      </c>
      <c r="HB246" s="43">
        <f t="shared" si="27"/>
        <v>18</v>
      </c>
      <c r="HC246" s="43">
        <f t="shared" si="27"/>
        <v>18</v>
      </c>
      <c r="HD246" s="43">
        <f t="shared" si="27"/>
        <v>18</v>
      </c>
      <c r="HE246" s="43">
        <f t="shared" si="27"/>
        <v>18</v>
      </c>
      <c r="HF246" s="43">
        <f t="shared" si="27"/>
        <v>18</v>
      </c>
      <c r="HG246" s="43">
        <f t="shared" si="27"/>
        <v>18</v>
      </c>
      <c r="HH246" s="43">
        <f t="shared" si="27"/>
        <v>18</v>
      </c>
      <c r="HI246" s="43">
        <f t="shared" si="27"/>
        <v>18</v>
      </c>
      <c r="HJ246" s="43">
        <f t="shared" si="27"/>
        <v>18</v>
      </c>
      <c r="HK246" s="43">
        <f t="shared" si="27"/>
        <v>18</v>
      </c>
      <c r="HL246" s="43">
        <f t="shared" si="27"/>
        <v>18</v>
      </c>
      <c r="HM246" s="43">
        <f t="shared" si="27"/>
        <v>18</v>
      </c>
      <c r="HN246" s="43">
        <f t="shared" si="27"/>
        <v>18</v>
      </c>
      <c r="HO246" s="43">
        <f t="shared" si="27"/>
        <v>18</v>
      </c>
      <c r="HP246" s="43">
        <f t="shared" si="27"/>
        <v>18</v>
      </c>
      <c r="HQ246" s="43">
        <f t="shared" si="27"/>
        <v>18</v>
      </c>
      <c r="HR246" s="43">
        <f t="shared" si="27"/>
        <v>18</v>
      </c>
      <c r="HS246" s="43">
        <f t="shared" si="27"/>
        <v>18</v>
      </c>
      <c r="HT246" s="43">
        <f t="shared" si="27"/>
        <v>18</v>
      </c>
      <c r="HU246" s="43">
        <f t="shared" si="27"/>
        <v>18</v>
      </c>
      <c r="HV246" s="43">
        <f t="shared" si="27"/>
        <v>18</v>
      </c>
      <c r="HW246" s="43">
        <f t="shared" si="27"/>
        <v>18</v>
      </c>
      <c r="HX246" s="43">
        <f t="shared" si="27"/>
        <v>18</v>
      </c>
      <c r="HY246" s="43">
        <f t="shared" si="27"/>
        <v>18</v>
      </c>
      <c r="HZ246" s="43">
        <f t="shared" si="27"/>
        <v>18</v>
      </c>
      <c r="IA246" s="43">
        <f t="shared" si="27"/>
        <v>18</v>
      </c>
      <c r="IB246" s="43">
        <f t="shared" si="27"/>
        <v>18</v>
      </c>
      <c r="IC246" s="43">
        <f t="shared" si="27"/>
        <v>18</v>
      </c>
      <c r="ID246" s="43">
        <f t="shared" si="27"/>
        <v>18</v>
      </c>
      <c r="IE246" s="43">
        <f t="shared" si="27"/>
        <v>18</v>
      </c>
      <c r="IF246" s="43">
        <f t="shared" si="27"/>
        <v>18</v>
      </c>
      <c r="IG246" s="43">
        <f t="shared" si="27"/>
        <v>18</v>
      </c>
      <c r="IH246" s="43">
        <f t="shared" si="27"/>
        <v>18</v>
      </c>
      <c r="II246" s="43">
        <f t="shared" si="27"/>
        <v>18</v>
      </c>
      <c r="IJ246" s="43">
        <f t="shared" si="27"/>
        <v>18</v>
      </c>
      <c r="IK246" s="43">
        <f t="shared" si="27"/>
        <v>18</v>
      </c>
      <c r="IL246" s="43">
        <f t="shared" si="27"/>
        <v>18</v>
      </c>
      <c r="IM246" s="43">
        <f t="shared" si="27"/>
        <v>18</v>
      </c>
      <c r="IN246" s="43">
        <f t="shared" si="27"/>
        <v>18</v>
      </c>
      <c r="IO246" s="43">
        <f t="shared" si="27"/>
        <v>18</v>
      </c>
      <c r="IP246" s="43">
        <f t="shared" si="27"/>
        <v>18</v>
      </c>
      <c r="IQ246" s="43">
        <f t="shared" si="27"/>
        <v>18</v>
      </c>
      <c r="IR246" s="43">
        <f t="shared" si="27"/>
        <v>18</v>
      </c>
      <c r="IS246" s="43">
        <f t="shared" si="27"/>
        <v>18</v>
      </c>
      <c r="IT246" s="43">
        <f t="shared" si="27"/>
        <v>18</v>
      </c>
      <c r="IU246" s="43">
        <f t="shared" si="27"/>
        <v>18</v>
      </c>
      <c r="IV246" s="43">
        <f t="shared" si="27"/>
        <v>18</v>
      </c>
      <c r="IW246" s="43">
        <f t="shared" si="27"/>
        <v>18</v>
      </c>
      <c r="IX246" s="43">
        <f t="shared" si="28"/>
        <v>18</v>
      </c>
      <c r="IY246" s="43">
        <f t="shared" si="28"/>
        <v>18</v>
      </c>
      <c r="IZ246" s="43">
        <f t="shared" si="28"/>
        <v>18</v>
      </c>
      <c r="JA246" s="43">
        <f t="shared" si="28"/>
        <v>18</v>
      </c>
      <c r="JB246" s="43">
        <f t="shared" si="28"/>
        <v>18</v>
      </c>
      <c r="JC246" s="43">
        <f t="shared" si="28"/>
        <v>18</v>
      </c>
      <c r="JD246" s="43">
        <f t="shared" si="28"/>
        <v>18</v>
      </c>
      <c r="JE246" s="43">
        <f t="shared" si="28"/>
        <v>18</v>
      </c>
      <c r="JF246" s="43">
        <f t="shared" si="28"/>
        <v>18</v>
      </c>
      <c r="JG246" s="43">
        <f t="shared" si="28"/>
        <v>18</v>
      </c>
      <c r="JH246" s="43">
        <f t="shared" si="28"/>
        <v>18</v>
      </c>
      <c r="JI246" s="43">
        <f t="shared" si="28"/>
        <v>18</v>
      </c>
      <c r="JJ246" s="43">
        <f t="shared" si="28"/>
        <v>18</v>
      </c>
      <c r="JK246" s="43">
        <f t="shared" si="28"/>
        <v>18</v>
      </c>
      <c r="JL246" s="43">
        <f t="shared" si="28"/>
        <v>18</v>
      </c>
      <c r="JM246" s="43">
        <f t="shared" si="28"/>
        <v>18</v>
      </c>
      <c r="JN246" s="43">
        <f t="shared" si="28"/>
        <v>18</v>
      </c>
      <c r="JO246" s="43">
        <f t="shared" si="28"/>
        <v>18</v>
      </c>
      <c r="JP246" s="43">
        <f t="shared" si="28"/>
        <v>18</v>
      </c>
      <c r="JQ246" s="43">
        <f t="shared" si="28"/>
        <v>18</v>
      </c>
      <c r="JR246" s="43">
        <f t="shared" si="28"/>
        <v>18</v>
      </c>
      <c r="JS246" s="43">
        <f t="shared" si="28"/>
        <v>18</v>
      </c>
      <c r="JT246" s="43">
        <f t="shared" si="28"/>
        <v>18</v>
      </c>
      <c r="JU246" s="43">
        <f t="shared" si="28"/>
        <v>18</v>
      </c>
      <c r="JV246" s="43">
        <f t="shared" si="28"/>
        <v>18</v>
      </c>
      <c r="JW246" s="43">
        <f t="shared" si="28"/>
        <v>18</v>
      </c>
      <c r="JX246" s="43">
        <f t="shared" si="28"/>
        <v>18</v>
      </c>
      <c r="JY246" s="43">
        <f t="shared" si="28"/>
        <v>18</v>
      </c>
      <c r="JZ246" s="43">
        <f t="shared" si="28"/>
        <v>18</v>
      </c>
      <c r="KA246" s="43">
        <f t="shared" si="28"/>
        <v>18</v>
      </c>
      <c r="KB246" s="43">
        <f t="shared" si="28"/>
        <v>18</v>
      </c>
      <c r="KC246" s="43">
        <f t="shared" si="28"/>
        <v>18</v>
      </c>
      <c r="KD246" s="43">
        <f t="shared" si="28"/>
        <v>18</v>
      </c>
      <c r="KE246" s="43">
        <f t="shared" si="28"/>
        <v>18</v>
      </c>
      <c r="KF246" s="43">
        <f t="shared" si="28"/>
        <v>18</v>
      </c>
      <c r="KG246" s="43">
        <f t="shared" si="28"/>
        <v>18</v>
      </c>
      <c r="KH246" s="43">
        <f t="shared" si="28"/>
        <v>18</v>
      </c>
      <c r="KI246" s="43">
        <f t="shared" si="28"/>
        <v>18</v>
      </c>
      <c r="KJ246" s="43">
        <f t="shared" si="28"/>
        <v>18</v>
      </c>
      <c r="KK246" s="43">
        <f t="shared" si="28"/>
        <v>18</v>
      </c>
      <c r="KL246" s="43">
        <f t="shared" si="28"/>
        <v>18</v>
      </c>
      <c r="KM246" s="43">
        <f t="shared" si="28"/>
        <v>18</v>
      </c>
      <c r="KN246" s="43">
        <f t="shared" si="28"/>
        <v>18</v>
      </c>
      <c r="KO246" s="43">
        <f t="shared" si="28"/>
        <v>18</v>
      </c>
      <c r="KP246" s="43">
        <f t="shared" si="28"/>
        <v>18</v>
      </c>
      <c r="KQ246" s="43">
        <f t="shared" si="28"/>
        <v>18</v>
      </c>
      <c r="KR246" s="43">
        <f t="shared" si="28"/>
        <v>18</v>
      </c>
      <c r="KS246" s="43">
        <f t="shared" si="28"/>
        <v>18</v>
      </c>
      <c r="KT246" s="43">
        <f t="shared" si="28"/>
        <v>18</v>
      </c>
      <c r="KU246" s="43">
        <f t="shared" si="28"/>
        <v>18</v>
      </c>
      <c r="KV246" s="43">
        <f t="shared" si="28"/>
        <v>18</v>
      </c>
      <c r="KW246" s="43">
        <f t="shared" si="28"/>
        <v>18</v>
      </c>
      <c r="KX246" s="43">
        <f t="shared" si="28"/>
        <v>18</v>
      </c>
      <c r="KY246" s="43">
        <f t="shared" si="28"/>
        <v>18</v>
      </c>
      <c r="KZ246" s="43">
        <f t="shared" si="28"/>
        <v>18</v>
      </c>
      <c r="LA246" s="43">
        <f t="shared" si="28"/>
        <v>18</v>
      </c>
      <c r="LB246" s="43">
        <f t="shared" si="28"/>
        <v>18</v>
      </c>
      <c r="LC246" s="43">
        <f t="shared" si="28"/>
        <v>18</v>
      </c>
      <c r="LD246" s="43">
        <f t="shared" si="28"/>
        <v>18</v>
      </c>
      <c r="LE246" s="43">
        <f t="shared" si="28"/>
        <v>18</v>
      </c>
      <c r="LF246" s="43">
        <f t="shared" si="28"/>
        <v>18</v>
      </c>
      <c r="LG246" s="43">
        <f t="shared" si="28"/>
        <v>18</v>
      </c>
      <c r="LH246" s="43">
        <f t="shared" si="28"/>
        <v>18</v>
      </c>
      <c r="LI246" s="43">
        <f t="shared" si="28"/>
        <v>18</v>
      </c>
      <c r="LJ246" s="43">
        <f t="shared" si="29"/>
        <v>18</v>
      </c>
      <c r="LK246" s="43">
        <f t="shared" si="29"/>
        <v>18</v>
      </c>
      <c r="LL246" s="43">
        <f t="shared" si="29"/>
        <v>18</v>
      </c>
      <c r="LM246" s="43">
        <f t="shared" si="29"/>
        <v>18</v>
      </c>
      <c r="LN246" s="43">
        <f t="shared" si="29"/>
        <v>18</v>
      </c>
      <c r="LO246" s="43">
        <f t="shared" si="29"/>
        <v>18</v>
      </c>
      <c r="LP246" s="43">
        <f t="shared" si="29"/>
        <v>18</v>
      </c>
      <c r="LQ246" s="43">
        <f t="shared" si="29"/>
        <v>18</v>
      </c>
      <c r="LR246" s="43">
        <f t="shared" si="29"/>
        <v>18</v>
      </c>
      <c r="LS246" s="43">
        <f t="shared" si="29"/>
        <v>18</v>
      </c>
      <c r="LT246" s="43">
        <f t="shared" si="29"/>
        <v>18</v>
      </c>
      <c r="LU246" s="43">
        <f t="shared" si="29"/>
        <v>18</v>
      </c>
      <c r="LV246" s="43">
        <f t="shared" si="29"/>
        <v>18</v>
      </c>
      <c r="LW246" s="43">
        <f t="shared" si="29"/>
        <v>18</v>
      </c>
      <c r="LX246" s="43">
        <f t="shared" si="29"/>
        <v>18</v>
      </c>
      <c r="LY246" s="43">
        <f t="shared" si="29"/>
        <v>18</v>
      </c>
      <c r="LZ246" s="43">
        <f t="shared" si="29"/>
        <v>18</v>
      </c>
      <c r="MA246" s="43">
        <f t="shared" si="29"/>
        <v>18</v>
      </c>
      <c r="MB246" s="43">
        <f t="shared" si="29"/>
        <v>18</v>
      </c>
      <c r="MC246" s="43">
        <f t="shared" si="29"/>
        <v>18</v>
      </c>
      <c r="MD246" s="43">
        <f t="shared" si="29"/>
        <v>18</v>
      </c>
      <c r="ME246" s="43">
        <f t="shared" si="29"/>
        <v>18</v>
      </c>
      <c r="MF246" s="43">
        <f t="shared" si="29"/>
        <v>18</v>
      </c>
      <c r="MG246" s="43">
        <f t="shared" si="29"/>
        <v>18</v>
      </c>
      <c r="MH246" s="43">
        <f t="shared" si="29"/>
        <v>18</v>
      </c>
      <c r="MI246" s="43">
        <f t="shared" si="29"/>
        <v>18</v>
      </c>
      <c r="MJ246" s="43">
        <f t="shared" si="29"/>
        <v>18</v>
      </c>
      <c r="MK246" s="43">
        <f t="shared" si="29"/>
        <v>18</v>
      </c>
      <c r="ML246" s="43">
        <f t="shared" si="29"/>
        <v>18</v>
      </c>
      <c r="MM246" s="43">
        <f t="shared" si="29"/>
        <v>18</v>
      </c>
      <c r="MN246" s="43">
        <f t="shared" si="29"/>
        <v>18</v>
      </c>
      <c r="MO246" s="43">
        <f t="shared" si="29"/>
        <v>18</v>
      </c>
      <c r="MP246" s="43">
        <f t="shared" si="29"/>
        <v>18</v>
      </c>
      <c r="MQ246" s="43">
        <f t="shared" si="29"/>
        <v>18</v>
      </c>
      <c r="MR246" s="43">
        <f t="shared" si="29"/>
        <v>18</v>
      </c>
      <c r="MS246" s="43">
        <f t="shared" si="29"/>
        <v>18</v>
      </c>
      <c r="MT246" s="43">
        <f t="shared" si="29"/>
        <v>18</v>
      </c>
      <c r="MU246" s="43">
        <f t="shared" si="29"/>
        <v>18</v>
      </c>
      <c r="MV246" s="43">
        <f t="shared" si="29"/>
        <v>18</v>
      </c>
      <c r="MW246" s="43">
        <f t="shared" si="29"/>
        <v>18</v>
      </c>
      <c r="MX246" s="43">
        <f t="shared" si="29"/>
        <v>18</v>
      </c>
      <c r="MY246" s="43">
        <f t="shared" si="29"/>
        <v>18</v>
      </c>
      <c r="MZ246" s="43">
        <f t="shared" si="29"/>
        <v>18</v>
      </c>
      <c r="NA246" s="43">
        <f t="shared" si="29"/>
        <v>18</v>
      </c>
      <c r="NB246" s="17">
        <f t="shared" si="29"/>
        <v>18</v>
      </c>
    </row>
    <row r="247" spans="1:1098" x14ac:dyDescent="0.35">
      <c r="A247" s="4"/>
      <c r="NB247" s="7"/>
      <c r="NC247" s="31"/>
      <c r="ND247" s="31"/>
      <c r="NE247" s="31"/>
      <c r="NF247" s="31"/>
      <c r="NG247" s="31"/>
      <c r="NH247" s="31"/>
      <c r="NI247" s="31"/>
      <c r="NJ247" s="31"/>
      <c r="NK247" s="31"/>
      <c r="NL247" s="31"/>
      <c r="NM247" s="31"/>
      <c r="NN247" s="31"/>
      <c r="NO247" s="31"/>
      <c r="NP247" s="31"/>
      <c r="NQ247" s="31"/>
      <c r="NR247" s="31"/>
      <c r="NS247" s="31"/>
      <c r="NT247" s="31"/>
      <c r="NU247" s="31"/>
      <c r="NV247" s="31"/>
      <c r="NW247" s="31"/>
      <c r="NX247" s="31"/>
      <c r="NY247" s="31"/>
      <c r="NZ247" s="31"/>
      <c r="OA247" s="31"/>
      <c r="OB247" s="31"/>
      <c r="OC247" s="31"/>
      <c r="OD247" s="31"/>
      <c r="OE247" s="31"/>
      <c r="OF247" s="31"/>
      <c r="OG247" s="31"/>
      <c r="OH247" s="31"/>
      <c r="OI247" s="31"/>
      <c r="OJ247" s="31"/>
      <c r="OK247" s="31"/>
      <c r="OL247" s="31"/>
      <c r="OM247" s="31"/>
      <c r="ON247" s="31"/>
      <c r="OO247" s="31"/>
      <c r="OP247" s="31"/>
      <c r="OQ247" s="31"/>
      <c r="OR247" s="31"/>
      <c r="OS247" s="31"/>
      <c r="OT247" s="31"/>
      <c r="OU247" s="31"/>
      <c r="OV247" s="31"/>
      <c r="OW247" s="31"/>
      <c r="OX247" s="31"/>
      <c r="OY247" s="31"/>
      <c r="OZ247" s="31"/>
      <c r="PA247" s="31"/>
      <c r="PB247" s="31"/>
      <c r="PC247" s="31"/>
      <c r="PD247" s="31"/>
      <c r="PE247" s="31"/>
      <c r="PF247" s="31"/>
      <c r="PG247" s="31"/>
      <c r="PH247" s="31"/>
      <c r="PI247" s="31"/>
      <c r="PJ247" s="31"/>
      <c r="PK247" s="31"/>
      <c r="PL247" s="31"/>
      <c r="PM247" s="31"/>
      <c r="PN247" s="31"/>
      <c r="PO247" s="31"/>
      <c r="PP247" s="31"/>
      <c r="PQ247" s="31"/>
      <c r="PR247" s="31"/>
      <c r="PS247" s="31"/>
      <c r="PT247" s="31"/>
      <c r="PU247" s="31"/>
      <c r="PV247" s="31"/>
      <c r="PW247" s="31"/>
      <c r="PX247" s="31"/>
      <c r="PY247" s="31"/>
      <c r="PZ247" s="31"/>
      <c r="QA247" s="31"/>
      <c r="QB247" s="31"/>
      <c r="QC247" s="31"/>
      <c r="QD247" s="31"/>
      <c r="QE247" s="31"/>
      <c r="QF247" s="31"/>
      <c r="QG247" s="31"/>
      <c r="QH247" s="31"/>
      <c r="QI247" s="31"/>
      <c r="QJ247" s="31"/>
      <c r="QK247" s="31"/>
      <c r="QL247" s="31"/>
      <c r="QM247" s="31"/>
      <c r="QN247" s="31"/>
      <c r="QO247" s="31"/>
      <c r="QP247" s="31"/>
      <c r="QQ247" s="31"/>
      <c r="QR247" s="31"/>
      <c r="QS247" s="31"/>
      <c r="QT247" s="31"/>
      <c r="QU247" s="31"/>
      <c r="QV247" s="31"/>
      <c r="QW247" s="31"/>
      <c r="QX247" s="31"/>
      <c r="QY247" s="31"/>
      <c r="QZ247" s="31"/>
      <c r="RA247" s="31"/>
      <c r="RB247" s="31"/>
      <c r="RC247" s="31"/>
      <c r="RD247" s="31"/>
      <c r="RE247" s="31"/>
      <c r="RF247" s="31"/>
      <c r="RG247" s="31"/>
      <c r="RH247" s="31"/>
      <c r="RI247" s="31"/>
      <c r="RJ247" s="31"/>
      <c r="RK247" s="31"/>
      <c r="RL247" s="31"/>
      <c r="RM247" s="31"/>
      <c r="RN247" s="31"/>
      <c r="RO247" s="31"/>
      <c r="RP247" s="31"/>
      <c r="RQ247" s="31"/>
      <c r="RR247" s="31"/>
      <c r="RS247" s="31"/>
      <c r="RT247" s="31"/>
      <c r="RU247" s="31"/>
      <c r="RV247" s="31"/>
      <c r="RW247" s="31"/>
      <c r="RX247" s="31"/>
      <c r="RY247" s="31"/>
      <c r="RZ247" s="31"/>
      <c r="SA247" s="31"/>
      <c r="SB247" s="31"/>
      <c r="SC247" s="31"/>
      <c r="SD247" s="31"/>
      <c r="SE247" s="31"/>
      <c r="SF247" s="31"/>
      <c r="SG247" s="31"/>
      <c r="SH247" s="31"/>
      <c r="SI247" s="31"/>
      <c r="SJ247" s="31"/>
      <c r="SK247" s="31"/>
      <c r="SL247" s="31"/>
      <c r="SM247" s="31"/>
      <c r="SN247" s="31"/>
      <c r="SO247" s="31"/>
      <c r="SP247" s="31"/>
      <c r="SQ247" s="31"/>
      <c r="SR247" s="31"/>
      <c r="SS247" s="31"/>
      <c r="ST247" s="31"/>
      <c r="SU247" s="31"/>
      <c r="SV247" s="31"/>
      <c r="SW247" s="31"/>
      <c r="SX247" s="31"/>
      <c r="SY247" s="31"/>
      <c r="SZ247" s="31"/>
      <c r="TA247" s="31"/>
      <c r="TB247" s="31"/>
      <c r="TC247" s="31"/>
      <c r="TD247" s="31"/>
      <c r="TE247" s="31"/>
      <c r="TF247" s="31"/>
      <c r="TG247" s="31"/>
      <c r="TH247" s="31"/>
      <c r="TI247" s="31"/>
      <c r="TJ247" s="31"/>
      <c r="TK247" s="31"/>
      <c r="TL247" s="31"/>
      <c r="TM247" s="31"/>
      <c r="TN247" s="31"/>
      <c r="TO247" s="31"/>
      <c r="TP247" s="31"/>
      <c r="TQ247" s="31"/>
      <c r="TR247" s="31"/>
      <c r="TS247" s="31"/>
      <c r="TT247" s="31"/>
      <c r="TU247" s="31"/>
      <c r="TV247" s="31"/>
      <c r="TW247" s="31"/>
      <c r="TX247" s="31"/>
      <c r="TY247" s="31"/>
      <c r="TZ247" s="31"/>
      <c r="UA247" s="31"/>
      <c r="UB247" s="31"/>
      <c r="UC247" s="31"/>
      <c r="UD247" s="31"/>
      <c r="UE247" s="31"/>
      <c r="UF247" s="31"/>
      <c r="UG247" s="31"/>
      <c r="UH247" s="31"/>
      <c r="UI247" s="31"/>
      <c r="UJ247" s="31"/>
      <c r="UK247" s="31"/>
      <c r="UL247" s="31"/>
      <c r="UM247" s="31"/>
      <c r="UN247" s="31"/>
      <c r="UO247" s="31"/>
      <c r="UP247" s="31"/>
      <c r="UQ247" s="31"/>
      <c r="UR247" s="31"/>
      <c r="US247" s="31"/>
      <c r="UT247" s="31"/>
      <c r="UU247" s="31"/>
      <c r="UV247" s="31"/>
      <c r="UW247" s="31"/>
      <c r="UX247" s="31"/>
      <c r="UY247" s="31"/>
      <c r="UZ247" s="31"/>
      <c r="VA247" s="31"/>
      <c r="VB247" s="31"/>
      <c r="VC247" s="31"/>
      <c r="VD247" s="31"/>
      <c r="VE247" s="31"/>
      <c r="VF247" s="31"/>
      <c r="VG247" s="31"/>
      <c r="VH247" s="31"/>
      <c r="VI247" s="31"/>
      <c r="VJ247" s="31"/>
      <c r="VK247" s="31"/>
      <c r="VL247" s="31"/>
      <c r="VM247" s="31"/>
      <c r="VN247" s="31"/>
      <c r="VO247" s="31"/>
      <c r="VP247" s="31"/>
      <c r="VQ247" s="31"/>
      <c r="VR247" s="31"/>
      <c r="VS247" s="31"/>
      <c r="VT247" s="31"/>
      <c r="VU247" s="31"/>
      <c r="VV247" s="31"/>
      <c r="VW247" s="31"/>
      <c r="VX247" s="31"/>
      <c r="VY247" s="31"/>
      <c r="VZ247" s="31"/>
      <c r="WA247" s="31"/>
      <c r="WB247" s="31"/>
      <c r="WC247" s="31"/>
      <c r="WD247" s="31"/>
      <c r="WE247" s="31"/>
      <c r="WF247" s="31"/>
      <c r="WG247" s="31"/>
      <c r="WH247" s="31"/>
      <c r="WI247" s="31"/>
      <c r="WJ247" s="31"/>
      <c r="WK247" s="31"/>
      <c r="WL247" s="31"/>
      <c r="WM247" s="31"/>
      <c r="WN247" s="31"/>
      <c r="WO247" s="31"/>
      <c r="WP247" s="31"/>
      <c r="WQ247" s="31"/>
      <c r="WR247" s="31"/>
      <c r="WS247" s="31"/>
      <c r="WT247" s="31"/>
      <c r="WU247" s="31"/>
      <c r="WV247" s="31"/>
      <c r="WW247" s="31"/>
      <c r="WX247" s="31"/>
      <c r="WY247" s="31"/>
      <c r="WZ247" s="31"/>
      <c r="XA247" s="31"/>
      <c r="XB247" s="31"/>
      <c r="XC247" s="31"/>
      <c r="XD247" s="31"/>
      <c r="XE247" s="31"/>
      <c r="XF247" s="31"/>
      <c r="XG247" s="31"/>
      <c r="XH247" s="31"/>
      <c r="XI247" s="31"/>
      <c r="XJ247" s="31"/>
      <c r="XK247" s="31"/>
      <c r="XL247" s="31"/>
      <c r="XM247" s="31"/>
      <c r="XN247" s="31"/>
      <c r="XO247" s="31"/>
      <c r="XP247" s="31"/>
      <c r="XQ247" s="31"/>
      <c r="XR247" s="31"/>
      <c r="XS247" s="31"/>
      <c r="XT247" s="31"/>
      <c r="XU247" s="31"/>
      <c r="XV247" s="31"/>
      <c r="XW247" s="31"/>
      <c r="XX247" s="31"/>
      <c r="XY247" s="31"/>
      <c r="XZ247" s="31"/>
      <c r="YA247" s="31"/>
      <c r="YB247" s="31"/>
      <c r="YC247" s="31"/>
      <c r="YD247" s="31"/>
      <c r="YE247" s="31"/>
      <c r="YF247" s="31"/>
      <c r="YG247" s="31"/>
      <c r="YH247" s="31"/>
      <c r="YI247" s="31"/>
      <c r="YJ247" s="31"/>
      <c r="YK247" s="31"/>
      <c r="YL247" s="31"/>
      <c r="YM247" s="31"/>
      <c r="YN247" s="31"/>
      <c r="YO247" s="31"/>
      <c r="YP247" s="31"/>
      <c r="YQ247" s="31"/>
      <c r="YR247" s="31"/>
      <c r="YS247" s="31"/>
      <c r="YT247" s="31"/>
      <c r="YU247" s="31"/>
      <c r="YV247" s="31"/>
      <c r="YW247" s="31"/>
      <c r="YX247" s="31"/>
      <c r="YY247" s="31"/>
      <c r="YZ247" s="31"/>
      <c r="ZA247" s="31"/>
      <c r="ZB247" s="31"/>
      <c r="ZC247" s="31"/>
      <c r="ZD247" s="31"/>
      <c r="ZE247" s="31"/>
      <c r="ZF247" s="31"/>
      <c r="ZG247" s="31"/>
      <c r="ZH247" s="31"/>
      <c r="ZI247" s="31"/>
      <c r="ZJ247" s="31"/>
      <c r="ZK247" s="31"/>
      <c r="ZL247" s="31"/>
      <c r="ZM247" s="31"/>
      <c r="ZN247" s="31"/>
      <c r="ZO247" s="31"/>
      <c r="ZP247" s="31"/>
      <c r="ZQ247" s="31"/>
      <c r="ZR247" s="31"/>
      <c r="ZS247" s="31"/>
      <c r="ZT247" s="31"/>
      <c r="ZU247" s="31"/>
      <c r="ZV247" s="31"/>
      <c r="ZW247" s="31"/>
      <c r="ZX247" s="31"/>
      <c r="ZY247" s="31"/>
      <c r="ZZ247" s="31"/>
      <c r="AAA247" s="31"/>
      <c r="AAB247" s="31"/>
      <c r="AAC247" s="31"/>
      <c r="AAD247" s="31"/>
      <c r="AAE247" s="31"/>
      <c r="AAF247" s="31"/>
      <c r="AAG247" s="31"/>
      <c r="AAH247" s="31"/>
      <c r="AAI247" s="31"/>
      <c r="AAJ247" s="31"/>
      <c r="AAK247" s="31"/>
      <c r="AAL247" s="31"/>
      <c r="AAM247" s="31"/>
      <c r="AAN247" s="31"/>
      <c r="AAO247" s="31"/>
      <c r="AAP247" s="31"/>
      <c r="AAQ247" s="31"/>
      <c r="AAR247" s="31"/>
      <c r="AAS247" s="31"/>
      <c r="AAT247" s="31"/>
      <c r="AAU247" s="31"/>
      <c r="AAV247" s="31"/>
      <c r="AAW247" s="31"/>
      <c r="AAX247" s="31"/>
      <c r="AAY247" s="31"/>
      <c r="AAZ247" s="31"/>
      <c r="ABA247" s="31"/>
      <c r="ABB247" s="31"/>
      <c r="ABC247" s="31"/>
      <c r="ABD247" s="31"/>
      <c r="ABE247" s="31"/>
      <c r="ABF247" s="31"/>
      <c r="ABG247" s="31"/>
      <c r="ABH247" s="31"/>
      <c r="ABI247" s="31"/>
      <c r="ABJ247" s="31"/>
      <c r="ABK247" s="31"/>
      <c r="ABL247" s="31"/>
      <c r="ABM247" s="31"/>
      <c r="ABN247" s="31"/>
      <c r="ABO247" s="31"/>
      <c r="ABP247" s="31"/>
      <c r="ABQ247" s="31"/>
      <c r="ABR247" s="31"/>
      <c r="ABS247" s="31"/>
      <c r="ABT247" s="31"/>
      <c r="ABU247" s="31"/>
      <c r="ABV247" s="31"/>
      <c r="ABW247" s="31"/>
      <c r="ABX247" s="31"/>
      <c r="ABY247" s="31"/>
      <c r="ABZ247" s="31"/>
      <c r="ACA247" s="31"/>
      <c r="ACB247" s="31"/>
      <c r="ACC247" s="31"/>
      <c r="ACD247" s="31"/>
      <c r="ACE247" s="31"/>
      <c r="ACF247" s="31"/>
      <c r="ACG247" s="31"/>
      <c r="ACH247" s="31"/>
      <c r="ACI247" s="31"/>
      <c r="ACJ247" s="31"/>
      <c r="ACK247" s="31"/>
      <c r="ACL247" s="31"/>
      <c r="ACM247" s="31"/>
      <c r="ACN247" s="31"/>
      <c r="ACO247" s="31"/>
      <c r="ACP247" s="31"/>
      <c r="ACQ247" s="31"/>
      <c r="ACR247" s="31"/>
      <c r="ACS247" s="31"/>
      <c r="ACT247" s="31"/>
      <c r="ACU247" s="31"/>
      <c r="ACV247" s="31"/>
      <c r="ACW247" s="31"/>
      <c r="ACX247" s="31"/>
      <c r="ACY247" s="31"/>
      <c r="ACZ247" s="31"/>
      <c r="ADA247" s="31"/>
      <c r="ADB247" s="31"/>
      <c r="ADC247" s="31"/>
      <c r="ADD247" s="31"/>
      <c r="ADE247" s="31"/>
      <c r="ADF247" s="31"/>
      <c r="ADG247" s="31"/>
      <c r="ADH247" s="31"/>
      <c r="ADI247" s="31"/>
      <c r="ADJ247" s="31"/>
      <c r="ADK247" s="31"/>
      <c r="ADL247" s="31"/>
      <c r="ADM247" s="31"/>
      <c r="ADN247" s="31"/>
      <c r="ADO247" s="31"/>
      <c r="ADP247" s="31"/>
      <c r="ADQ247" s="31"/>
      <c r="ADR247" s="31"/>
      <c r="ADS247" s="31"/>
      <c r="ADT247" s="31"/>
      <c r="ADU247" s="31"/>
      <c r="ADV247" s="31"/>
      <c r="ADW247" s="31"/>
      <c r="ADX247" s="31"/>
      <c r="ADY247" s="31"/>
      <c r="ADZ247" s="31"/>
      <c r="AEA247" s="31"/>
      <c r="AEB247" s="31"/>
      <c r="AEC247" s="31"/>
      <c r="AED247" s="31"/>
      <c r="AEE247" s="31"/>
      <c r="AEF247" s="31"/>
      <c r="AEG247" s="31"/>
      <c r="AEH247" s="31"/>
      <c r="AEI247" s="31"/>
      <c r="AEJ247" s="31"/>
      <c r="AEK247" s="31"/>
      <c r="AEL247" s="31"/>
      <c r="AEM247" s="31"/>
      <c r="AEN247" s="31"/>
      <c r="AEO247" s="31"/>
      <c r="AEP247" s="31"/>
      <c r="AEQ247" s="31"/>
      <c r="AER247" s="31"/>
      <c r="AES247" s="31"/>
      <c r="AET247" s="31"/>
      <c r="AEU247" s="31"/>
      <c r="AEV247" s="31"/>
      <c r="AEW247" s="31"/>
      <c r="AEX247" s="31"/>
      <c r="AEY247" s="31"/>
      <c r="AEZ247" s="31"/>
      <c r="AFA247" s="31"/>
      <c r="AFB247" s="31"/>
      <c r="AFC247" s="31"/>
      <c r="AFD247" s="31"/>
      <c r="AFE247" s="31"/>
      <c r="AFF247" s="31"/>
      <c r="AFG247" s="31"/>
      <c r="AFH247" s="31"/>
      <c r="AFI247" s="31"/>
      <c r="AFJ247" s="31"/>
      <c r="AFK247" s="31"/>
      <c r="AFL247" s="31"/>
      <c r="AFM247" s="31"/>
      <c r="AFN247" s="31"/>
      <c r="AFO247" s="31"/>
      <c r="AFP247" s="31"/>
      <c r="AFQ247" s="31"/>
      <c r="AFR247" s="31"/>
      <c r="AFS247" s="31"/>
      <c r="AFT247" s="31"/>
      <c r="AFU247" s="31"/>
      <c r="AFV247" s="31"/>
      <c r="AFW247" s="31"/>
      <c r="AFX247" s="31"/>
      <c r="AFY247" s="31"/>
      <c r="AFZ247" s="31"/>
      <c r="AGA247" s="31"/>
      <c r="AGB247" s="31"/>
      <c r="AGC247" s="31"/>
      <c r="AGD247" s="31"/>
      <c r="AGE247" s="31"/>
      <c r="AGF247" s="31"/>
      <c r="AGG247" s="31"/>
      <c r="AGH247" s="31"/>
      <c r="AGI247" s="31"/>
      <c r="AGJ247" s="31"/>
      <c r="AGK247" s="31"/>
      <c r="AGL247" s="31"/>
      <c r="AGM247" s="31"/>
      <c r="AGN247" s="31"/>
      <c r="AGO247" s="31"/>
      <c r="AGP247" s="31"/>
      <c r="AGQ247" s="31"/>
      <c r="AGR247" s="31"/>
      <c r="AGS247" s="31"/>
      <c r="AGT247" s="31"/>
      <c r="AGU247" s="31"/>
      <c r="AGV247" s="31"/>
      <c r="AGW247" s="31"/>
      <c r="AGX247" s="31"/>
      <c r="AGY247" s="31"/>
      <c r="AGZ247" s="31"/>
      <c r="AHA247" s="31"/>
      <c r="AHB247" s="31"/>
      <c r="AHC247" s="31"/>
      <c r="AHD247" s="31"/>
      <c r="AHE247" s="31"/>
      <c r="AHF247" s="31"/>
      <c r="AHG247" s="31"/>
      <c r="AHH247" s="31"/>
      <c r="AHI247" s="31"/>
      <c r="AHJ247" s="31"/>
      <c r="AHK247" s="31"/>
      <c r="AHL247" s="31"/>
      <c r="AHM247" s="31"/>
      <c r="AHN247" s="31"/>
      <c r="AHO247" s="31"/>
      <c r="AHP247" s="31"/>
      <c r="AHQ247" s="31"/>
      <c r="AHR247" s="31"/>
      <c r="AHS247" s="31"/>
      <c r="AHT247" s="31"/>
      <c r="AHU247" s="31"/>
      <c r="AHV247" s="31"/>
      <c r="AHW247" s="31"/>
      <c r="AHX247" s="31"/>
      <c r="AHY247" s="31"/>
      <c r="AHZ247" s="31"/>
      <c r="AIA247" s="31"/>
      <c r="AIB247" s="31"/>
      <c r="AIC247" s="31"/>
      <c r="AID247" s="31"/>
      <c r="AIE247" s="31"/>
      <c r="AIF247" s="31"/>
      <c r="AIG247" s="31"/>
      <c r="AIH247" s="31"/>
      <c r="AII247" s="31"/>
      <c r="AIJ247" s="31"/>
      <c r="AIK247" s="31"/>
      <c r="AIL247" s="31"/>
      <c r="AIM247" s="31"/>
      <c r="AIN247" s="31"/>
      <c r="AIO247" s="31"/>
      <c r="AIP247" s="31"/>
      <c r="AIQ247" s="31"/>
      <c r="AIR247" s="31"/>
      <c r="AIS247" s="31"/>
      <c r="AIT247" s="31"/>
      <c r="AIU247" s="31"/>
      <c r="AIV247" s="31"/>
      <c r="AIW247" s="31"/>
      <c r="AIX247" s="31"/>
      <c r="AIY247" s="31"/>
      <c r="AIZ247" s="31"/>
      <c r="AJA247" s="31"/>
      <c r="AJB247" s="31"/>
      <c r="AJC247" s="31"/>
      <c r="AJD247" s="31"/>
      <c r="AJE247" s="31"/>
      <c r="AJF247" s="31"/>
      <c r="AJG247" s="31"/>
      <c r="AJH247" s="31"/>
      <c r="AJI247" s="31"/>
      <c r="AJJ247" s="31"/>
      <c r="AJK247" s="31"/>
      <c r="AJL247" s="31"/>
      <c r="AJM247" s="31"/>
      <c r="AJN247" s="31"/>
      <c r="AJO247" s="31"/>
      <c r="AJP247" s="31"/>
      <c r="AJQ247" s="31"/>
      <c r="AJR247" s="31"/>
      <c r="AJS247" s="31"/>
      <c r="AJT247" s="31"/>
      <c r="AJU247" s="31"/>
      <c r="AJV247" s="31"/>
      <c r="AJW247" s="31"/>
      <c r="AJX247" s="31"/>
      <c r="AJY247" s="31"/>
      <c r="AJZ247" s="31"/>
      <c r="AKA247" s="31"/>
      <c r="AKB247" s="31"/>
      <c r="AKC247" s="31"/>
      <c r="AKD247" s="31"/>
      <c r="AKE247" s="31"/>
      <c r="AKF247" s="31"/>
      <c r="AKG247" s="31"/>
      <c r="AKH247" s="31"/>
      <c r="AKI247" s="31"/>
      <c r="AKJ247" s="31"/>
      <c r="AKK247" s="31"/>
      <c r="AKL247" s="31"/>
      <c r="AKM247" s="31"/>
      <c r="AKN247" s="31"/>
      <c r="AKO247" s="31"/>
      <c r="AKP247" s="31"/>
      <c r="AKQ247" s="31"/>
      <c r="AKR247" s="31"/>
      <c r="AKS247" s="31"/>
      <c r="AKT247" s="31"/>
      <c r="AKU247" s="31"/>
      <c r="AKV247" s="31"/>
      <c r="AKW247" s="31"/>
      <c r="AKX247" s="31"/>
      <c r="AKY247" s="31"/>
      <c r="AKZ247" s="31"/>
      <c r="ALA247" s="31"/>
      <c r="ALB247" s="31"/>
      <c r="ALC247" s="31"/>
      <c r="ALD247" s="31"/>
      <c r="ALE247" s="31"/>
      <c r="ALF247" s="31"/>
      <c r="ALG247" s="31"/>
      <c r="ALH247" s="31"/>
      <c r="ALI247" s="31"/>
      <c r="ALJ247" s="31"/>
      <c r="ALK247" s="31"/>
      <c r="ALL247" s="31"/>
      <c r="ALM247" s="31"/>
      <c r="ALN247" s="31"/>
      <c r="ALO247" s="31"/>
      <c r="ALP247" s="31"/>
      <c r="ALQ247" s="31"/>
      <c r="ALR247" s="31"/>
      <c r="ALS247" s="31"/>
      <c r="ALT247" s="31"/>
      <c r="ALU247" s="31"/>
      <c r="ALV247" s="31"/>
      <c r="ALW247" s="31"/>
      <c r="ALX247" s="31"/>
      <c r="ALY247" s="31"/>
      <c r="ALZ247" s="31"/>
      <c r="AMA247" s="31"/>
      <c r="AMB247" s="31"/>
      <c r="AMC247" s="31"/>
      <c r="AMD247" s="31"/>
      <c r="AME247" s="31"/>
      <c r="AMF247" s="31"/>
      <c r="AMG247" s="31"/>
      <c r="AMH247" s="31"/>
      <c r="AMI247" s="31"/>
      <c r="AMJ247" s="31"/>
      <c r="AMK247" s="31"/>
      <c r="AML247" s="31"/>
      <c r="AMM247" s="31"/>
      <c r="AMN247" s="31"/>
      <c r="AMO247" s="31"/>
      <c r="AMP247" s="31"/>
      <c r="AMQ247" s="31"/>
      <c r="AMR247" s="31"/>
      <c r="AMS247" s="31"/>
      <c r="AMT247" s="31"/>
      <c r="AMU247" s="31"/>
      <c r="AMV247" s="31"/>
      <c r="AMW247" s="31"/>
      <c r="AMX247" s="31"/>
      <c r="AMY247" s="31"/>
      <c r="AMZ247" s="31"/>
      <c r="ANA247" s="31"/>
      <c r="ANB247" s="31"/>
      <c r="ANC247" s="31"/>
      <c r="AND247" s="31"/>
      <c r="ANE247" s="31"/>
      <c r="ANF247" s="31"/>
      <c r="ANG247" s="31"/>
      <c r="ANH247" s="31"/>
      <c r="ANI247" s="31"/>
      <c r="ANJ247" s="31"/>
      <c r="ANK247" s="31"/>
      <c r="ANL247" s="31"/>
      <c r="ANM247" s="31"/>
      <c r="ANN247" s="31"/>
      <c r="ANO247" s="31"/>
      <c r="ANP247" s="31"/>
      <c r="ANQ247" s="31"/>
      <c r="ANR247" s="31"/>
      <c r="ANS247" s="31"/>
      <c r="ANT247" s="31"/>
      <c r="ANU247" s="31"/>
      <c r="ANV247" s="31"/>
      <c r="ANW247" s="31"/>
      <c r="ANX247" s="31"/>
      <c r="ANY247" s="31"/>
      <c r="ANZ247" s="31"/>
      <c r="AOA247" s="31"/>
      <c r="AOB247" s="31"/>
      <c r="AOC247" s="31"/>
      <c r="AOD247" s="31"/>
      <c r="AOE247" s="31"/>
      <c r="AOF247" s="31"/>
      <c r="AOG247" s="31"/>
      <c r="AOH247" s="31"/>
      <c r="AOI247" s="31"/>
      <c r="AOJ247" s="31"/>
      <c r="AOK247" s="31"/>
      <c r="AOL247" s="31"/>
      <c r="AOM247" s="31"/>
      <c r="AON247" s="31"/>
      <c r="AOO247" s="31"/>
      <c r="AOP247" s="31"/>
      <c r="AOQ247" s="31"/>
      <c r="AOR247" s="31"/>
      <c r="AOS247" s="31"/>
      <c r="AOT247" s="31"/>
      <c r="AOU247" s="31"/>
      <c r="AOV247" s="31"/>
      <c r="AOW247" s="31"/>
      <c r="AOX247" s="31"/>
      <c r="AOY247" s="31"/>
      <c r="AOZ247" s="31"/>
      <c r="APA247" s="31"/>
      <c r="APB247" s="31"/>
      <c r="APC247" s="31"/>
      <c r="APD247" s="31"/>
      <c r="APE247" s="31"/>
      <c r="APF247" s="31"/>
    </row>
    <row r="248" spans="1:1098" x14ac:dyDescent="0.35">
      <c r="A248" s="4" t="s">
        <v>23</v>
      </c>
      <c r="B248" s="31">
        <v>0</v>
      </c>
      <c r="C248" s="31">
        <v>5.3278688524590169E-3</v>
      </c>
      <c r="D248" s="31">
        <v>1.0655737704918034E-2</v>
      </c>
      <c r="E248" s="31">
        <v>1.5983606557377052E-2</v>
      </c>
      <c r="F248" s="31">
        <v>2.1311475409836068E-2</v>
      </c>
      <c r="G248" s="31">
        <v>2.6639344262295084E-2</v>
      </c>
      <c r="H248" s="31">
        <v>3.1967213114754103E-2</v>
      </c>
      <c r="I248" s="31">
        <v>3.7295081967213116E-2</v>
      </c>
      <c r="J248" s="31">
        <v>4.2622950819672135E-2</v>
      </c>
      <c r="K248" s="31">
        <v>4.7950819672131155E-2</v>
      </c>
      <c r="L248" s="31">
        <v>5.3278688524590168E-2</v>
      </c>
      <c r="M248" s="31">
        <v>5.8606557377049187E-2</v>
      </c>
      <c r="N248" s="31">
        <v>6.3934426229508207E-2</v>
      </c>
      <c r="O248" s="31">
        <v>6.9262295081967226E-2</v>
      </c>
      <c r="P248" s="31">
        <v>7.4590163934426232E-2</v>
      </c>
      <c r="Q248" s="31">
        <v>7.9918032786885251E-2</v>
      </c>
      <c r="R248" s="31">
        <v>8.5245901639344271E-2</v>
      </c>
      <c r="S248" s="31">
        <v>9.057377049180329E-2</v>
      </c>
      <c r="T248" s="31">
        <v>9.590163934426231E-2</v>
      </c>
      <c r="U248" s="31">
        <v>0.10122950819672132</v>
      </c>
      <c r="V248" s="31">
        <v>0.10655737704918034</v>
      </c>
      <c r="W248" s="31">
        <v>0.11188524590163935</v>
      </c>
      <c r="X248" s="31">
        <v>0.11721311475409837</v>
      </c>
      <c r="Y248" s="31">
        <v>0.12254098360655739</v>
      </c>
      <c r="Z248" s="31">
        <v>0.12786885245901641</v>
      </c>
      <c r="AA248" s="31">
        <v>0.13319672131147542</v>
      </c>
      <c r="AB248" s="31">
        <v>0.13852459016393445</v>
      </c>
      <c r="AC248" s="31">
        <v>0.14385245901639346</v>
      </c>
      <c r="AD248" s="31">
        <v>0.14918032786885246</v>
      </c>
      <c r="AE248" s="31">
        <v>0.1545081967213115</v>
      </c>
      <c r="AF248" s="31">
        <v>0.1598360655737705</v>
      </c>
      <c r="AG248" s="31">
        <v>0.16516393442622954</v>
      </c>
      <c r="AH248" s="31">
        <v>0.17049180327868854</v>
      </c>
      <c r="AI248" s="31">
        <v>0.17581967213114755</v>
      </c>
      <c r="AJ248" s="31">
        <v>0.18114754098360658</v>
      </c>
      <c r="AK248" s="31">
        <v>0.18647540983606559</v>
      </c>
      <c r="AL248" s="31">
        <v>0.19180327868852462</v>
      </c>
      <c r="AM248" s="31">
        <v>0.19713114754098363</v>
      </c>
      <c r="AN248" s="31">
        <v>0.20245901639344263</v>
      </c>
      <c r="AO248" s="31">
        <v>0.20778688524590166</v>
      </c>
      <c r="AP248" s="31">
        <v>0.21311475409836067</v>
      </c>
      <c r="AQ248" s="31">
        <v>0.2184426229508197</v>
      </c>
      <c r="AR248" s="31">
        <v>0.22377049180327871</v>
      </c>
      <c r="AS248" s="31">
        <v>0.22909836065573772</v>
      </c>
      <c r="AT248" s="31">
        <v>0.23442622950819675</v>
      </c>
      <c r="AU248" s="31">
        <v>0.23975409836065575</v>
      </c>
      <c r="AV248" s="31">
        <v>0.24508196721311479</v>
      </c>
      <c r="AW248" s="31">
        <v>0.25040983606557382</v>
      </c>
      <c r="AX248" s="31">
        <v>0.25573770491803283</v>
      </c>
      <c r="AY248" s="31">
        <v>0.26106557377049183</v>
      </c>
      <c r="AZ248" s="31">
        <v>0.26639344262295084</v>
      </c>
      <c r="BA248" s="31">
        <v>0.27172131147540984</v>
      </c>
      <c r="BB248" s="31">
        <v>0.2770491803278689</v>
      </c>
      <c r="BC248" s="31">
        <v>0.28237704918032791</v>
      </c>
      <c r="BD248" s="31">
        <v>0.28770491803278692</v>
      </c>
      <c r="BE248" s="31">
        <v>0.29303278688524592</v>
      </c>
      <c r="BF248" s="31">
        <v>0.29836065573770493</v>
      </c>
      <c r="BG248" s="31">
        <v>0.30368852459016399</v>
      </c>
      <c r="BH248" s="31">
        <v>0.30901639344262299</v>
      </c>
      <c r="BI248" s="31">
        <v>0.314344262295082</v>
      </c>
      <c r="BJ248" s="31">
        <v>0.31967213114754101</v>
      </c>
      <c r="BK248" s="31">
        <v>0.32500000000000001</v>
      </c>
      <c r="BL248" s="31">
        <v>0.33032786885245907</v>
      </c>
      <c r="BM248" s="31">
        <v>0.33565573770491808</v>
      </c>
      <c r="BN248" s="31">
        <v>0.34098360655737708</v>
      </c>
      <c r="BO248" s="31">
        <v>0.34631147540983609</v>
      </c>
      <c r="BP248" s="31">
        <v>0.35163934426229509</v>
      </c>
      <c r="BQ248" s="31">
        <v>0.35696721311475416</v>
      </c>
      <c r="BR248" s="31">
        <v>0.36229508196721316</v>
      </c>
      <c r="BS248" s="31">
        <v>0.36762295081967217</v>
      </c>
      <c r="BT248" s="31">
        <v>0.37295081967213117</v>
      </c>
      <c r="BU248" s="31">
        <v>0.37827868852459018</v>
      </c>
      <c r="BV248" s="31">
        <v>0.38360655737704924</v>
      </c>
      <c r="BW248" s="31">
        <v>0.38893442622950825</v>
      </c>
      <c r="BX248" s="31">
        <v>0.39426229508196725</v>
      </c>
      <c r="BY248" s="31">
        <v>0.39959016393442626</v>
      </c>
      <c r="BZ248" s="31">
        <v>0.40491803278688526</v>
      </c>
      <c r="CA248" s="31">
        <v>0.41024590163934432</v>
      </c>
      <c r="CB248" s="31">
        <v>0.41557377049180333</v>
      </c>
      <c r="CC248" s="31">
        <v>0.42090163934426233</v>
      </c>
      <c r="CD248" s="31">
        <v>0.42622950819672134</v>
      </c>
      <c r="CE248" s="31">
        <v>0.43155737704918035</v>
      </c>
      <c r="CF248" s="31">
        <v>0.43688524590163941</v>
      </c>
      <c r="CG248" s="31">
        <v>0.44221311475409841</v>
      </c>
      <c r="CH248" s="31">
        <v>0.44754098360655742</v>
      </c>
      <c r="CI248" s="31">
        <v>0.45286885245901642</v>
      </c>
      <c r="CJ248" s="31">
        <v>0.45819672131147543</v>
      </c>
      <c r="CK248" s="31">
        <v>0.46352459016393449</v>
      </c>
      <c r="CL248" s="31">
        <v>0.4688524590163935</v>
      </c>
      <c r="CM248" s="31">
        <v>0.4741803278688525</v>
      </c>
      <c r="CN248" s="31">
        <v>0.47950819672131151</v>
      </c>
      <c r="CO248" s="31">
        <v>0.48483606557377051</v>
      </c>
      <c r="CP248" s="31">
        <v>0.49016393442622957</v>
      </c>
      <c r="CQ248" s="31">
        <v>0.49549180327868858</v>
      </c>
      <c r="CR248" s="31">
        <v>0.50081967213114764</v>
      </c>
      <c r="CS248" s="31">
        <v>0.50614754098360659</v>
      </c>
      <c r="CT248" s="31">
        <v>0.51147540983606565</v>
      </c>
      <c r="CU248" s="31">
        <v>0.5168032786885246</v>
      </c>
      <c r="CV248" s="31">
        <v>0.52213114754098366</v>
      </c>
      <c r="CW248" s="31">
        <v>0.52745901639344273</v>
      </c>
      <c r="CX248" s="31">
        <v>0.53278688524590168</v>
      </c>
      <c r="CY248" s="31">
        <v>0.53811475409836074</v>
      </c>
      <c r="CZ248" s="31">
        <v>0.54344262295081969</v>
      </c>
      <c r="DA248" s="31">
        <v>0.54877049180327875</v>
      </c>
      <c r="DB248" s="31">
        <v>0.55409836065573781</v>
      </c>
      <c r="DC248" s="31">
        <v>0.55942622950819676</v>
      </c>
      <c r="DD248" s="31">
        <v>0.56475409836065582</v>
      </c>
      <c r="DE248" s="31">
        <v>0.57008196721311477</v>
      </c>
      <c r="DF248" s="31">
        <v>0.57540983606557383</v>
      </c>
      <c r="DG248" s="31">
        <v>0.58073770491803289</v>
      </c>
      <c r="DH248" s="31">
        <v>0.58606557377049184</v>
      </c>
      <c r="DI248" s="31">
        <v>0.5913934426229509</v>
      </c>
      <c r="DJ248" s="31">
        <v>0.59672131147540985</v>
      </c>
      <c r="DK248" s="31">
        <v>0.60204918032786892</v>
      </c>
      <c r="DL248" s="31">
        <v>0.60737704918032798</v>
      </c>
      <c r="DM248" s="31">
        <v>0.61270491803278693</v>
      </c>
      <c r="DN248" s="31">
        <v>0.61803278688524599</v>
      </c>
      <c r="DO248" s="31">
        <v>0.62336065573770494</v>
      </c>
      <c r="DP248" s="31">
        <v>0.628688524590164</v>
      </c>
      <c r="DQ248" s="31">
        <v>0.63401639344262306</v>
      </c>
      <c r="DR248" s="31">
        <v>0.63934426229508201</v>
      </c>
      <c r="DS248" s="31">
        <v>0.64467213114754107</v>
      </c>
      <c r="DT248" s="31">
        <v>0.65</v>
      </c>
      <c r="DU248" s="31">
        <v>0.65217391304347827</v>
      </c>
      <c r="DV248" s="31">
        <v>0.65434782608695652</v>
      </c>
      <c r="DW248" s="31">
        <v>0.65652173913043477</v>
      </c>
      <c r="DX248" s="31">
        <v>0.65869565217391302</v>
      </c>
      <c r="DY248" s="31">
        <v>0.66086956521739137</v>
      </c>
      <c r="DZ248" s="31">
        <v>0.66304347826086962</v>
      </c>
      <c r="EA248" s="31">
        <v>0.66521739130434787</v>
      </c>
      <c r="EB248" s="31">
        <v>0.66739130434782612</v>
      </c>
      <c r="EC248" s="31">
        <v>0.66956521739130437</v>
      </c>
      <c r="ED248" s="31">
        <v>0.67173913043478262</v>
      </c>
      <c r="EE248" s="31">
        <v>0.67391304347826086</v>
      </c>
      <c r="EF248" s="31">
        <v>0.67608695652173911</v>
      </c>
      <c r="EG248" s="31">
        <v>0.67826086956521736</v>
      </c>
      <c r="EH248" s="31">
        <v>0.68043478260869572</v>
      </c>
      <c r="EI248" s="31">
        <v>0.68260869565217397</v>
      </c>
      <c r="EJ248" s="31">
        <v>0.68478260869565222</v>
      </c>
      <c r="EK248" s="31">
        <v>0.68695652173913047</v>
      </c>
      <c r="EL248" s="31">
        <v>0.68913043478260871</v>
      </c>
      <c r="EM248" s="31">
        <v>0.69130434782608696</v>
      </c>
      <c r="EN248" s="31">
        <v>0.69347826086956521</v>
      </c>
      <c r="EO248" s="31">
        <v>0.69565217391304346</v>
      </c>
      <c r="EP248" s="31">
        <v>0.69782608695652171</v>
      </c>
      <c r="EQ248" s="31">
        <v>0.7</v>
      </c>
      <c r="ER248" s="31">
        <v>0.70217391304347831</v>
      </c>
      <c r="ES248" s="31">
        <v>0.70434782608695656</v>
      </c>
      <c r="ET248" s="31">
        <v>0.70652173913043481</v>
      </c>
      <c r="EU248" s="31">
        <v>0.70869565217391306</v>
      </c>
      <c r="EV248" s="31">
        <v>0.71086956521739131</v>
      </c>
      <c r="EW248" s="31">
        <v>0.71304347826086956</v>
      </c>
      <c r="EX248" s="31">
        <v>0.7152173913043478</v>
      </c>
      <c r="EY248" s="31">
        <v>0.71739130434782605</v>
      </c>
      <c r="EZ248" s="31">
        <v>0.7195652173913043</v>
      </c>
      <c r="FA248" s="31">
        <v>0.72173913043478266</v>
      </c>
      <c r="FB248" s="31">
        <v>0.72391304347826091</v>
      </c>
      <c r="FC248" s="31">
        <v>0.72608695652173916</v>
      </c>
      <c r="FD248" s="31">
        <v>0.72826086956521741</v>
      </c>
      <c r="FE248" s="31">
        <v>0.73043478260869565</v>
      </c>
      <c r="FF248" s="31">
        <v>0.7326086956521739</v>
      </c>
      <c r="FG248" s="31">
        <v>0.73478260869565215</v>
      </c>
      <c r="FH248" s="31">
        <v>0.7369565217391304</v>
      </c>
      <c r="FI248" s="31">
        <v>0.73913043478260865</v>
      </c>
      <c r="FJ248" s="31">
        <v>0.74130434782608701</v>
      </c>
      <c r="FK248" s="31">
        <v>0.74347826086956526</v>
      </c>
      <c r="FL248" s="31">
        <v>0.7456521739130435</v>
      </c>
      <c r="FM248" s="31">
        <v>0.74782608695652175</v>
      </c>
      <c r="FN248" s="31">
        <v>0.75</v>
      </c>
      <c r="FO248" s="31">
        <v>0.75217391304347825</v>
      </c>
      <c r="FP248" s="31">
        <v>0.7543478260869565</v>
      </c>
      <c r="FQ248" s="31">
        <v>0.75652173913043474</v>
      </c>
      <c r="FR248" s="31">
        <v>0.75869565217391299</v>
      </c>
      <c r="FS248" s="31">
        <v>0.76086956521739135</v>
      </c>
      <c r="FT248" s="31">
        <v>0.7630434782608696</v>
      </c>
      <c r="FU248" s="31">
        <v>0.76521739130434785</v>
      </c>
      <c r="FV248" s="31">
        <v>0.7673913043478261</v>
      </c>
      <c r="FW248" s="31">
        <v>0.76956521739130435</v>
      </c>
      <c r="FX248" s="31">
        <v>0.77173913043478259</v>
      </c>
      <c r="FY248" s="31">
        <v>0.77391304347826084</v>
      </c>
      <c r="FZ248" s="31">
        <v>0.77608695652173909</v>
      </c>
      <c r="GA248" s="31">
        <v>0.77826086956521734</v>
      </c>
      <c r="GB248" s="31">
        <v>0.7804347826086957</v>
      </c>
      <c r="GC248" s="31">
        <v>0.78260869565217395</v>
      </c>
      <c r="GD248" s="31">
        <v>0.7847826086956522</v>
      </c>
      <c r="GE248" s="31">
        <v>0.78695652173913044</v>
      </c>
      <c r="GF248" s="31">
        <v>0.78913043478260869</v>
      </c>
      <c r="GG248" s="31">
        <v>0.79130434782608694</v>
      </c>
      <c r="GH248" s="31">
        <v>0.79347826086956519</v>
      </c>
      <c r="GI248" s="31">
        <v>0.79565217391304344</v>
      </c>
      <c r="GJ248" s="31">
        <v>0.79782608695652169</v>
      </c>
      <c r="GK248" s="31">
        <v>0.8</v>
      </c>
      <c r="GL248" s="31">
        <v>0.80217391304347829</v>
      </c>
      <c r="GM248" s="31">
        <v>0.80434782608695654</v>
      </c>
      <c r="GN248" s="31">
        <v>0.80652173913043479</v>
      </c>
      <c r="GO248" s="31">
        <v>0.80869565217391304</v>
      </c>
      <c r="GP248" s="31">
        <v>0.81086956521739129</v>
      </c>
      <c r="GQ248" s="31">
        <v>0.81304347826086953</v>
      </c>
      <c r="GR248" s="31">
        <v>0.81521739130434778</v>
      </c>
      <c r="GS248" s="31">
        <v>0.81739130434782603</v>
      </c>
      <c r="GT248" s="31">
        <v>0.81956521739130439</v>
      </c>
      <c r="GU248" s="31">
        <v>0.82173913043478264</v>
      </c>
      <c r="GV248" s="31">
        <v>0.82391304347826089</v>
      </c>
      <c r="GW248" s="31">
        <v>0.82608695652173914</v>
      </c>
      <c r="GX248" s="31">
        <v>0.82826086956521738</v>
      </c>
      <c r="GY248" s="31">
        <v>0.83043478260869563</v>
      </c>
      <c r="GZ248" s="31">
        <v>0.83260869565217388</v>
      </c>
      <c r="HA248" s="31">
        <v>0.83478260869565213</v>
      </c>
      <c r="HB248" s="31">
        <v>0.83695652173913038</v>
      </c>
      <c r="HC248" s="31">
        <v>0.83913043478260874</v>
      </c>
      <c r="HD248" s="31">
        <v>0.84130434782608687</v>
      </c>
      <c r="HE248" s="31">
        <v>0.84347826086956523</v>
      </c>
      <c r="HF248" s="31">
        <v>0.84565217391304348</v>
      </c>
      <c r="HG248" s="31">
        <v>0.84782608695652173</v>
      </c>
      <c r="HH248" s="31">
        <v>0.85</v>
      </c>
      <c r="HI248" s="31">
        <v>0.84426229508196715</v>
      </c>
      <c r="HJ248" s="31">
        <v>0.83852459016393444</v>
      </c>
      <c r="HK248" s="31">
        <v>0.83278688524590161</v>
      </c>
      <c r="HL248" s="31">
        <v>0.82704918032786878</v>
      </c>
      <c r="HM248" s="31">
        <v>0.82131147540983607</v>
      </c>
      <c r="HN248" s="31">
        <v>0.81557377049180324</v>
      </c>
      <c r="HO248" s="31">
        <v>0.80983606557377041</v>
      </c>
      <c r="HP248" s="31">
        <v>0.8040983606557377</v>
      </c>
      <c r="HQ248" s="31">
        <v>0.79836065573770487</v>
      </c>
      <c r="HR248" s="31">
        <v>0.79262295081967216</v>
      </c>
      <c r="HS248" s="31">
        <v>0.78688524590163933</v>
      </c>
      <c r="HT248" s="31">
        <v>0.7811475409836065</v>
      </c>
      <c r="HU248" s="31">
        <v>0.77540983606557379</v>
      </c>
      <c r="HV248" s="31">
        <v>0.76967213114754096</v>
      </c>
      <c r="HW248" s="31">
        <v>0.76393442622950813</v>
      </c>
      <c r="HX248" s="31">
        <v>0.75819672131147542</v>
      </c>
      <c r="HY248" s="31">
        <v>0.75245901639344259</v>
      </c>
      <c r="HZ248" s="31">
        <v>0.74672131147540988</v>
      </c>
      <c r="IA248" s="31">
        <v>0.74098360655737705</v>
      </c>
      <c r="IB248" s="31">
        <v>0.73524590163934422</v>
      </c>
      <c r="IC248" s="31">
        <v>0.72950819672131151</v>
      </c>
      <c r="ID248" s="31">
        <v>0.72377049180327868</v>
      </c>
      <c r="IE248" s="31">
        <v>0.71803278688524586</v>
      </c>
      <c r="IF248" s="31">
        <v>0.71229508196721314</v>
      </c>
      <c r="IG248" s="31">
        <v>0.70655737704918031</v>
      </c>
      <c r="IH248" s="31">
        <v>0.70081967213114749</v>
      </c>
      <c r="II248" s="31">
        <v>0.69508196721311477</v>
      </c>
      <c r="IJ248" s="31">
        <v>0.68934426229508194</v>
      </c>
      <c r="IK248" s="31">
        <v>0.68360655737704912</v>
      </c>
      <c r="IL248" s="31">
        <v>0.6778688524590164</v>
      </c>
      <c r="IM248" s="31">
        <v>0.67213114754098358</v>
      </c>
      <c r="IN248" s="31">
        <v>0.66639344262295075</v>
      </c>
      <c r="IO248" s="31">
        <v>0.66065573770491803</v>
      </c>
      <c r="IP248" s="31">
        <v>0.65491803278688521</v>
      </c>
      <c r="IQ248" s="31">
        <v>0.64918032786885238</v>
      </c>
      <c r="IR248" s="31">
        <v>0.64344262295081966</v>
      </c>
      <c r="IS248" s="31">
        <v>0.63770491803278684</v>
      </c>
      <c r="IT248" s="31">
        <v>0.63196721311475412</v>
      </c>
      <c r="IU248" s="31">
        <v>0.6262295081967213</v>
      </c>
      <c r="IV248" s="31">
        <v>0.62049180327868858</v>
      </c>
      <c r="IW248" s="31">
        <v>0.61475409836065575</v>
      </c>
      <c r="IX248" s="31">
        <v>0.60901639344262293</v>
      </c>
      <c r="IY248" s="31">
        <v>0.60327868852459021</v>
      </c>
      <c r="IZ248" s="31">
        <v>0.59754098360655739</v>
      </c>
      <c r="JA248" s="31">
        <v>0.59180327868852456</v>
      </c>
      <c r="JB248" s="31">
        <v>0.58606557377049184</v>
      </c>
      <c r="JC248" s="31">
        <v>0.58032786885245902</v>
      </c>
      <c r="JD248" s="31">
        <v>0.57459016393442619</v>
      </c>
      <c r="JE248" s="31">
        <v>0.56885245901639347</v>
      </c>
      <c r="JF248" s="31">
        <v>0.56311475409836065</v>
      </c>
      <c r="JG248" s="31">
        <v>0.55737704918032782</v>
      </c>
      <c r="JH248" s="31">
        <v>0.55163934426229511</v>
      </c>
      <c r="JI248" s="31">
        <v>0.54590163934426228</v>
      </c>
      <c r="JJ248" s="31">
        <v>0.54016393442622945</v>
      </c>
      <c r="JK248" s="31">
        <v>0.53442622950819674</v>
      </c>
      <c r="JL248" s="31">
        <v>0.52868852459016391</v>
      </c>
      <c r="JM248" s="31">
        <v>0.52295081967213108</v>
      </c>
      <c r="JN248" s="31">
        <v>0.51721311475409837</v>
      </c>
      <c r="JO248" s="31">
        <v>0.51147540983606554</v>
      </c>
      <c r="JP248" s="31">
        <v>0.50573770491803272</v>
      </c>
      <c r="JQ248" s="31">
        <v>0.5</v>
      </c>
      <c r="JR248" s="31">
        <v>0.49322033898305084</v>
      </c>
      <c r="JS248" s="31">
        <v>0.48644067796610169</v>
      </c>
      <c r="JT248" s="31">
        <v>0.47966101694915253</v>
      </c>
      <c r="JU248" s="31">
        <v>0.47288135593220337</v>
      </c>
      <c r="JV248" s="31">
        <v>0.46610169491525422</v>
      </c>
      <c r="JW248" s="31">
        <v>0.45932203389830506</v>
      </c>
      <c r="JX248" s="31">
        <v>0.4525423728813559</v>
      </c>
      <c r="JY248" s="31">
        <v>0.44576271186440675</v>
      </c>
      <c r="JZ248" s="31">
        <v>0.43898305084745759</v>
      </c>
      <c r="KA248" s="31">
        <v>0.43220338983050843</v>
      </c>
      <c r="KB248" s="31">
        <v>0.42542372881355933</v>
      </c>
      <c r="KC248" s="31">
        <v>0.41864406779661018</v>
      </c>
      <c r="KD248" s="31">
        <v>0.41186440677966102</v>
      </c>
      <c r="KE248" s="31">
        <v>0.40508474576271186</v>
      </c>
      <c r="KF248" s="31">
        <v>0.39830508474576271</v>
      </c>
      <c r="KG248" s="31">
        <v>0.39152542372881355</v>
      </c>
      <c r="KH248" s="31">
        <v>0.38474576271186439</v>
      </c>
      <c r="KI248" s="31">
        <v>0.37796610169491524</v>
      </c>
      <c r="KJ248" s="31">
        <v>0.37118644067796608</v>
      </c>
      <c r="KK248" s="31">
        <v>0.36440677966101692</v>
      </c>
      <c r="KL248" s="31">
        <v>0.35762711864406782</v>
      </c>
      <c r="KM248" s="31">
        <v>0.35084745762711866</v>
      </c>
      <c r="KN248" s="31">
        <v>0.34406779661016951</v>
      </c>
      <c r="KO248" s="31">
        <v>0.33728813559322035</v>
      </c>
      <c r="KP248" s="31">
        <v>0.33050847457627119</v>
      </c>
      <c r="KQ248" s="31">
        <v>0.32372881355932204</v>
      </c>
      <c r="KR248" s="31">
        <v>0.31694915254237288</v>
      </c>
      <c r="KS248" s="31">
        <v>0.31016949152542372</v>
      </c>
      <c r="KT248" s="31">
        <v>0.30338983050847457</v>
      </c>
      <c r="KU248" s="31">
        <v>0.29661016949152541</v>
      </c>
      <c r="KV248" s="31">
        <v>0.28983050847457625</v>
      </c>
      <c r="KW248" s="31">
        <v>0.2830508474576271</v>
      </c>
      <c r="KX248" s="31">
        <v>0.27627118644067794</v>
      </c>
      <c r="KY248" s="31">
        <v>0.26949152542372878</v>
      </c>
      <c r="KZ248" s="31">
        <v>0.26271186440677963</v>
      </c>
      <c r="LA248" s="31">
        <v>0.25593220338983047</v>
      </c>
      <c r="LB248" s="31">
        <v>0.24915254237288131</v>
      </c>
      <c r="LC248" s="31">
        <v>0.24237288135593216</v>
      </c>
      <c r="LD248" s="31">
        <v>0.235593220338983</v>
      </c>
      <c r="LE248" s="31">
        <v>0.22881355932203384</v>
      </c>
      <c r="LF248" s="31">
        <v>0.22203389830508474</v>
      </c>
      <c r="LG248" s="31">
        <v>0.21525423728813559</v>
      </c>
      <c r="LH248" s="31">
        <v>0.20847457627118643</v>
      </c>
      <c r="LI248" s="31">
        <v>0.20169491525423727</v>
      </c>
      <c r="LJ248" s="31">
        <v>0.19491525423728812</v>
      </c>
      <c r="LK248" s="31">
        <v>0.18813559322033896</v>
      </c>
      <c r="LL248" s="31">
        <v>0.1813559322033898</v>
      </c>
      <c r="LM248" s="31">
        <v>0.17457627118644065</v>
      </c>
      <c r="LN248" s="31">
        <v>0.16779661016949149</v>
      </c>
      <c r="LO248" s="31">
        <v>0.16101694915254233</v>
      </c>
      <c r="LP248" s="31">
        <v>0.15423728813559318</v>
      </c>
      <c r="LQ248" s="31">
        <v>0.14745762711864402</v>
      </c>
      <c r="LR248" s="31">
        <v>0.14067796610169486</v>
      </c>
      <c r="LS248" s="31">
        <v>0.13389830508474571</v>
      </c>
      <c r="LT248" s="31">
        <v>0.12711864406779655</v>
      </c>
      <c r="LU248" s="31">
        <v>0.12033898305084745</v>
      </c>
      <c r="LV248" s="31">
        <v>0.11355932203389829</v>
      </c>
      <c r="LW248" s="31">
        <v>0.10677966101694913</v>
      </c>
      <c r="LX248" s="31">
        <v>9.9999999999999978E-2</v>
      </c>
      <c r="LY248" s="31">
        <v>9.6774193548387108E-2</v>
      </c>
      <c r="LZ248" s="31">
        <v>9.3548387096774197E-2</v>
      </c>
      <c r="MA248" s="31">
        <v>9.0322580645161299E-2</v>
      </c>
      <c r="MB248" s="31">
        <v>8.7096774193548387E-2</v>
      </c>
      <c r="MC248" s="31">
        <v>8.387096774193549E-2</v>
      </c>
      <c r="MD248" s="31">
        <v>8.0645161290322592E-2</v>
      </c>
      <c r="ME248" s="31">
        <v>7.7419354838709681E-2</v>
      </c>
      <c r="MF248" s="31">
        <v>7.4193548387096783E-2</v>
      </c>
      <c r="MG248" s="31">
        <v>7.0967741935483872E-2</v>
      </c>
      <c r="MH248" s="31">
        <v>6.7741935483870974E-2</v>
      </c>
      <c r="MI248" s="31">
        <v>6.4516129032258063E-2</v>
      </c>
      <c r="MJ248" s="31">
        <v>6.1290322580645165E-2</v>
      </c>
      <c r="MK248" s="31">
        <v>5.8064516129032261E-2</v>
      </c>
      <c r="ML248" s="31">
        <v>5.4838709677419363E-2</v>
      </c>
      <c r="MM248" s="31">
        <v>5.1612903225806459E-2</v>
      </c>
      <c r="MN248" s="31">
        <v>4.8387096774193554E-2</v>
      </c>
      <c r="MO248" s="31">
        <v>4.5161290322580649E-2</v>
      </c>
      <c r="MP248" s="31">
        <v>4.1935483870967745E-2</v>
      </c>
      <c r="MQ248" s="31">
        <v>3.8709677419354847E-2</v>
      </c>
      <c r="MR248" s="31">
        <v>3.5483870967741943E-2</v>
      </c>
      <c r="MS248" s="31">
        <v>3.2258064516129031E-2</v>
      </c>
      <c r="MT248" s="31">
        <v>2.9032258064516134E-2</v>
      </c>
      <c r="MU248" s="31">
        <v>2.5806451612903236E-2</v>
      </c>
      <c r="MV248" s="31">
        <v>2.2580645161290325E-2</v>
      </c>
      <c r="MW248" s="31">
        <v>1.9354838709677427E-2</v>
      </c>
      <c r="MX248" s="31">
        <v>1.6129032258064516E-2</v>
      </c>
      <c r="MY248" s="31">
        <v>1.2903225806451618E-2</v>
      </c>
      <c r="MZ248" s="31">
        <v>9.6774193548387205E-3</v>
      </c>
      <c r="NA248" s="31">
        <v>6.451612903225809E-3</v>
      </c>
      <c r="NB248" s="44">
        <v>3.2258064516129115E-3</v>
      </c>
    </row>
    <row r="249" spans="1:1098" x14ac:dyDescent="0.35">
      <c r="A249" s="4" t="s">
        <v>24</v>
      </c>
      <c r="B249" s="60">
        <v>1</v>
      </c>
      <c r="C249" s="60">
        <v>1</v>
      </c>
      <c r="D249" s="60">
        <v>1</v>
      </c>
      <c r="E249" s="60">
        <v>1</v>
      </c>
      <c r="F249" s="60">
        <v>1</v>
      </c>
      <c r="G249" s="60">
        <v>1</v>
      </c>
      <c r="H249" s="60">
        <v>1</v>
      </c>
      <c r="I249" s="60">
        <v>1</v>
      </c>
      <c r="J249" s="60">
        <v>1</v>
      </c>
      <c r="K249" s="60">
        <v>1</v>
      </c>
      <c r="L249" s="60">
        <v>1</v>
      </c>
      <c r="M249" s="60">
        <v>1</v>
      </c>
      <c r="N249" s="60">
        <v>1</v>
      </c>
      <c r="O249" s="60">
        <v>1</v>
      </c>
      <c r="P249" s="60">
        <v>1</v>
      </c>
      <c r="Q249" s="31">
        <v>1</v>
      </c>
      <c r="R249" s="31">
        <v>1</v>
      </c>
      <c r="S249" s="31">
        <v>1</v>
      </c>
      <c r="T249" s="60">
        <v>1</v>
      </c>
      <c r="U249" s="60">
        <v>1</v>
      </c>
      <c r="V249" s="60">
        <v>1</v>
      </c>
      <c r="W249" s="60">
        <v>1</v>
      </c>
      <c r="X249" s="60">
        <v>1</v>
      </c>
      <c r="Y249" s="60">
        <v>1</v>
      </c>
      <c r="Z249" s="60">
        <v>1</v>
      </c>
      <c r="AA249" s="60">
        <v>1</v>
      </c>
      <c r="AB249" s="60">
        <v>1</v>
      </c>
      <c r="AC249" s="60">
        <v>1</v>
      </c>
      <c r="AD249" s="60">
        <v>1</v>
      </c>
      <c r="AE249" s="60">
        <v>1</v>
      </c>
      <c r="AF249" s="60">
        <v>1</v>
      </c>
      <c r="AG249" s="60">
        <v>1</v>
      </c>
      <c r="AH249" s="60">
        <v>1</v>
      </c>
      <c r="AI249" s="60">
        <v>1</v>
      </c>
      <c r="AJ249" s="60">
        <v>1</v>
      </c>
      <c r="AK249" s="60">
        <v>1</v>
      </c>
      <c r="AL249" s="60">
        <v>1</v>
      </c>
      <c r="AM249" s="60">
        <v>1</v>
      </c>
      <c r="AN249" s="60">
        <v>1</v>
      </c>
      <c r="AO249" s="60">
        <v>1</v>
      </c>
      <c r="AP249" s="60">
        <v>1</v>
      </c>
      <c r="AQ249" s="60">
        <v>1</v>
      </c>
      <c r="AR249" s="60">
        <v>1</v>
      </c>
      <c r="AS249" s="60">
        <v>1</v>
      </c>
      <c r="AT249" s="60">
        <v>1</v>
      </c>
      <c r="AU249" s="60">
        <v>1</v>
      </c>
      <c r="AV249" s="60">
        <v>1</v>
      </c>
      <c r="AW249" s="60">
        <v>1</v>
      </c>
      <c r="AX249" s="60">
        <v>1</v>
      </c>
      <c r="AY249" s="60">
        <v>1</v>
      </c>
      <c r="AZ249" s="60">
        <v>1</v>
      </c>
      <c r="BA249" s="60">
        <v>1</v>
      </c>
      <c r="BB249" s="60">
        <v>1</v>
      </c>
      <c r="BC249" s="60">
        <v>1</v>
      </c>
      <c r="BD249" s="60">
        <v>1</v>
      </c>
      <c r="BE249" s="60">
        <v>1</v>
      </c>
      <c r="BF249" s="60">
        <v>1</v>
      </c>
      <c r="BG249" s="60">
        <v>1</v>
      </c>
      <c r="BH249" s="60">
        <v>1</v>
      </c>
      <c r="BI249" s="60">
        <v>1</v>
      </c>
      <c r="BJ249" s="60">
        <v>1</v>
      </c>
      <c r="BK249" s="60">
        <v>1</v>
      </c>
      <c r="BL249" s="60">
        <v>1</v>
      </c>
      <c r="BM249" s="60">
        <v>1</v>
      </c>
      <c r="BN249" s="60">
        <v>1</v>
      </c>
      <c r="BO249" s="60">
        <v>1</v>
      </c>
      <c r="BP249" s="60">
        <v>1</v>
      </c>
      <c r="BQ249" s="60">
        <v>1</v>
      </c>
      <c r="BR249" s="60">
        <v>1</v>
      </c>
      <c r="BS249" s="60">
        <v>1</v>
      </c>
      <c r="BT249" s="60">
        <v>1</v>
      </c>
      <c r="BU249" s="60">
        <v>1</v>
      </c>
      <c r="BV249" s="60">
        <v>1</v>
      </c>
      <c r="BW249" s="60">
        <v>1</v>
      </c>
      <c r="BX249" s="60">
        <v>1</v>
      </c>
      <c r="BY249" s="60">
        <v>1</v>
      </c>
      <c r="BZ249" s="60">
        <v>1</v>
      </c>
      <c r="CA249" s="60">
        <v>1</v>
      </c>
      <c r="CB249" s="60">
        <v>1</v>
      </c>
      <c r="CC249" s="60">
        <v>1</v>
      </c>
      <c r="CD249" s="60">
        <v>1</v>
      </c>
      <c r="CE249" s="60">
        <v>1</v>
      </c>
      <c r="CF249" s="60">
        <v>1</v>
      </c>
      <c r="CG249" s="60">
        <v>1</v>
      </c>
      <c r="CH249" s="60">
        <v>1</v>
      </c>
      <c r="CI249" s="60">
        <v>1</v>
      </c>
      <c r="CJ249" s="60">
        <v>1</v>
      </c>
      <c r="CK249" s="60">
        <v>1</v>
      </c>
      <c r="CL249" s="60">
        <v>1</v>
      </c>
      <c r="CM249" s="60">
        <v>1</v>
      </c>
      <c r="CN249" s="60">
        <v>1</v>
      </c>
      <c r="CO249" s="60">
        <v>1</v>
      </c>
      <c r="CP249" s="60">
        <v>1</v>
      </c>
      <c r="CQ249" s="60">
        <v>1</v>
      </c>
      <c r="CR249" s="60">
        <v>1</v>
      </c>
      <c r="CS249" s="60">
        <v>1</v>
      </c>
      <c r="CT249" s="60">
        <v>1</v>
      </c>
      <c r="CU249" s="60">
        <v>1</v>
      </c>
      <c r="CV249" s="60">
        <v>1</v>
      </c>
      <c r="CW249" s="60">
        <v>1</v>
      </c>
      <c r="CX249" s="60">
        <v>1</v>
      </c>
      <c r="CY249" s="60">
        <v>1</v>
      </c>
      <c r="CZ249" s="60">
        <v>1</v>
      </c>
      <c r="DA249" s="60">
        <v>1</v>
      </c>
      <c r="DB249" s="60">
        <v>1</v>
      </c>
      <c r="DC249" s="60">
        <v>1</v>
      </c>
      <c r="DD249" s="60">
        <v>1</v>
      </c>
      <c r="DE249" s="60">
        <v>1</v>
      </c>
      <c r="DF249" s="60">
        <v>1</v>
      </c>
      <c r="DG249" s="60">
        <v>1</v>
      </c>
      <c r="DH249" s="60">
        <v>1</v>
      </c>
      <c r="DI249" s="60">
        <v>1</v>
      </c>
      <c r="DJ249" s="60">
        <v>1</v>
      </c>
      <c r="DK249" s="60">
        <v>1</v>
      </c>
      <c r="DL249" s="60">
        <v>1</v>
      </c>
      <c r="DM249" s="60">
        <v>1</v>
      </c>
      <c r="DN249" s="60">
        <v>1</v>
      </c>
      <c r="DO249" s="60">
        <v>1</v>
      </c>
      <c r="DP249" s="60">
        <v>1</v>
      </c>
      <c r="DQ249" s="60">
        <v>1</v>
      </c>
      <c r="DR249" s="60">
        <v>1</v>
      </c>
      <c r="DS249" s="60">
        <v>1</v>
      </c>
      <c r="DT249" s="60">
        <v>1</v>
      </c>
      <c r="DU249" s="60">
        <v>1</v>
      </c>
      <c r="DV249" s="60">
        <v>1</v>
      </c>
      <c r="DW249" s="60">
        <v>1</v>
      </c>
      <c r="DX249" s="60">
        <v>1</v>
      </c>
      <c r="DY249" s="60">
        <v>1</v>
      </c>
      <c r="DZ249" s="60">
        <v>1</v>
      </c>
      <c r="EA249" s="60">
        <v>1</v>
      </c>
      <c r="EB249" s="60">
        <v>1</v>
      </c>
      <c r="EC249" s="60">
        <v>1</v>
      </c>
      <c r="ED249" s="60">
        <v>1</v>
      </c>
      <c r="EE249" s="60">
        <v>1</v>
      </c>
      <c r="EF249" s="60">
        <v>1</v>
      </c>
      <c r="EG249" s="60">
        <v>1</v>
      </c>
      <c r="EH249" s="60">
        <v>1</v>
      </c>
      <c r="EI249" s="60">
        <v>1</v>
      </c>
      <c r="EJ249" s="60">
        <v>1</v>
      </c>
      <c r="EK249" s="60">
        <v>1</v>
      </c>
      <c r="EL249" s="60">
        <v>1</v>
      </c>
      <c r="EM249" s="60">
        <v>1</v>
      </c>
      <c r="EN249" s="60">
        <v>1</v>
      </c>
      <c r="EO249" s="60">
        <v>1</v>
      </c>
      <c r="EP249" s="60">
        <v>1</v>
      </c>
      <c r="EQ249" s="60">
        <v>1</v>
      </c>
      <c r="ER249" s="60">
        <v>1</v>
      </c>
      <c r="ES249" s="60">
        <v>1</v>
      </c>
      <c r="ET249" s="60">
        <v>1</v>
      </c>
      <c r="EU249" s="60">
        <v>1</v>
      </c>
      <c r="EV249" s="60">
        <v>1</v>
      </c>
      <c r="EW249" s="60">
        <v>1</v>
      </c>
      <c r="EX249" s="60">
        <v>1</v>
      </c>
      <c r="EY249" s="60">
        <v>1</v>
      </c>
      <c r="EZ249" s="60">
        <v>1</v>
      </c>
      <c r="FA249" s="60">
        <v>1</v>
      </c>
      <c r="FB249" s="60">
        <v>1</v>
      </c>
      <c r="FC249" s="60">
        <v>1</v>
      </c>
      <c r="FD249" s="60">
        <v>1</v>
      </c>
      <c r="FE249" s="60">
        <v>1</v>
      </c>
      <c r="FF249" s="60">
        <v>1</v>
      </c>
      <c r="FG249" s="60">
        <v>1</v>
      </c>
      <c r="FH249" s="60">
        <v>1</v>
      </c>
      <c r="FI249" s="60">
        <v>1</v>
      </c>
      <c r="FJ249" s="60">
        <v>1</v>
      </c>
      <c r="FK249" s="60">
        <v>1</v>
      </c>
      <c r="FL249" s="60">
        <v>1</v>
      </c>
      <c r="FM249" s="60">
        <v>1</v>
      </c>
      <c r="FN249" s="60">
        <v>1</v>
      </c>
      <c r="FO249" s="60">
        <v>1</v>
      </c>
      <c r="FP249" s="60">
        <v>1</v>
      </c>
      <c r="FQ249" s="60">
        <v>1</v>
      </c>
      <c r="FR249" s="60">
        <v>1</v>
      </c>
      <c r="FS249" s="60">
        <v>1</v>
      </c>
      <c r="FT249" s="60">
        <v>1</v>
      </c>
      <c r="FU249" s="60">
        <v>1</v>
      </c>
      <c r="FV249" s="60">
        <v>1</v>
      </c>
      <c r="FW249" s="60">
        <v>1</v>
      </c>
      <c r="FX249" s="60">
        <v>1</v>
      </c>
      <c r="FY249" s="60">
        <v>1</v>
      </c>
      <c r="FZ249" s="60">
        <v>1</v>
      </c>
      <c r="GA249" s="60">
        <v>1</v>
      </c>
      <c r="GB249" s="60">
        <v>1</v>
      </c>
      <c r="GC249" s="60">
        <v>1</v>
      </c>
      <c r="GD249" s="60">
        <v>1</v>
      </c>
      <c r="GE249" s="60">
        <v>1</v>
      </c>
      <c r="GF249" s="60">
        <v>1</v>
      </c>
      <c r="GG249" s="60">
        <v>1</v>
      </c>
      <c r="GH249" s="60">
        <v>1</v>
      </c>
      <c r="GI249" s="60">
        <v>1</v>
      </c>
      <c r="GJ249" s="60">
        <v>1</v>
      </c>
      <c r="GK249" s="60">
        <v>1</v>
      </c>
      <c r="GL249" s="60">
        <v>1</v>
      </c>
      <c r="GM249" s="60">
        <v>1</v>
      </c>
      <c r="GN249" s="60">
        <v>1</v>
      </c>
      <c r="GO249" s="60">
        <v>1</v>
      </c>
      <c r="GP249" s="60">
        <v>1</v>
      </c>
      <c r="GQ249" s="60">
        <v>1</v>
      </c>
      <c r="GR249" s="60">
        <v>1</v>
      </c>
      <c r="GS249" s="60">
        <v>1</v>
      </c>
      <c r="GT249" s="60">
        <v>1</v>
      </c>
      <c r="GU249" s="60">
        <v>1</v>
      </c>
      <c r="GV249" s="60">
        <v>1</v>
      </c>
      <c r="GW249" s="60">
        <v>1</v>
      </c>
      <c r="GX249" s="60">
        <v>1</v>
      </c>
      <c r="GY249" s="60">
        <v>1</v>
      </c>
      <c r="GZ249" s="60">
        <v>1</v>
      </c>
      <c r="HA249" s="60">
        <v>1</v>
      </c>
      <c r="HB249" s="60">
        <v>1</v>
      </c>
      <c r="HC249" s="60">
        <v>1</v>
      </c>
      <c r="HD249" s="60">
        <v>1</v>
      </c>
      <c r="HE249" s="60">
        <v>1</v>
      </c>
      <c r="HF249" s="60">
        <v>1</v>
      </c>
      <c r="HG249" s="60">
        <v>1</v>
      </c>
      <c r="HH249" s="60">
        <v>1</v>
      </c>
      <c r="HI249" s="60">
        <v>1</v>
      </c>
      <c r="HJ249" s="60">
        <v>1</v>
      </c>
      <c r="HK249" s="60">
        <v>1</v>
      </c>
      <c r="HL249" s="60">
        <v>1</v>
      </c>
      <c r="HM249" s="60">
        <v>1</v>
      </c>
      <c r="HN249" s="60">
        <v>1</v>
      </c>
      <c r="HO249" s="60">
        <v>1</v>
      </c>
      <c r="HP249" s="60">
        <v>1</v>
      </c>
      <c r="HQ249" s="60">
        <v>1</v>
      </c>
      <c r="HR249" s="60">
        <v>1</v>
      </c>
      <c r="HS249" s="60">
        <v>1</v>
      </c>
      <c r="HT249" s="60">
        <v>1</v>
      </c>
      <c r="HU249" s="60">
        <v>1</v>
      </c>
      <c r="HV249" s="60">
        <v>1</v>
      </c>
      <c r="HW249" s="60">
        <v>1</v>
      </c>
      <c r="HX249" s="60">
        <v>1</v>
      </c>
      <c r="HY249" s="60">
        <v>1</v>
      </c>
      <c r="HZ249" s="60">
        <v>1</v>
      </c>
      <c r="IA249" s="60">
        <v>1</v>
      </c>
      <c r="IB249" s="60">
        <v>1</v>
      </c>
      <c r="IC249" s="60">
        <v>1</v>
      </c>
      <c r="ID249" s="60">
        <v>1</v>
      </c>
      <c r="IE249" s="60">
        <v>1</v>
      </c>
      <c r="IF249" s="60">
        <v>1</v>
      </c>
      <c r="IG249" s="60">
        <v>1</v>
      </c>
      <c r="IH249" s="60">
        <v>1</v>
      </c>
      <c r="II249" s="60">
        <v>1</v>
      </c>
      <c r="IJ249" s="60">
        <v>1</v>
      </c>
      <c r="IK249" s="60">
        <v>1</v>
      </c>
      <c r="IL249" s="60">
        <v>1</v>
      </c>
      <c r="IM249" s="60">
        <v>1</v>
      </c>
      <c r="IN249" s="60">
        <v>1</v>
      </c>
      <c r="IO249" s="60">
        <v>1</v>
      </c>
      <c r="IP249" s="60">
        <v>1</v>
      </c>
      <c r="IQ249" s="60">
        <v>1</v>
      </c>
      <c r="IR249" s="60">
        <v>1</v>
      </c>
      <c r="IS249" s="60">
        <v>1</v>
      </c>
      <c r="IT249" s="60">
        <v>1</v>
      </c>
      <c r="IU249" s="60">
        <v>1</v>
      </c>
      <c r="IV249" s="60">
        <v>1</v>
      </c>
      <c r="IW249" s="60">
        <v>1</v>
      </c>
      <c r="IX249" s="60">
        <v>1</v>
      </c>
      <c r="IY249" s="60">
        <v>1</v>
      </c>
      <c r="IZ249" s="60">
        <v>1</v>
      </c>
      <c r="JA249" s="60">
        <v>1</v>
      </c>
      <c r="JB249" s="60">
        <v>1</v>
      </c>
      <c r="JC249" s="60">
        <v>1</v>
      </c>
      <c r="JD249" s="60">
        <v>1</v>
      </c>
      <c r="JE249" s="60">
        <v>1</v>
      </c>
      <c r="JF249" s="60">
        <v>1</v>
      </c>
      <c r="JG249" s="60">
        <v>1</v>
      </c>
      <c r="JH249" s="60">
        <v>1</v>
      </c>
      <c r="JI249" s="60">
        <v>1</v>
      </c>
      <c r="JJ249" s="60">
        <v>1</v>
      </c>
      <c r="JK249" s="60">
        <v>1</v>
      </c>
      <c r="JL249" s="60">
        <v>1</v>
      </c>
      <c r="JM249" s="60">
        <v>1</v>
      </c>
      <c r="JN249" s="60">
        <v>1</v>
      </c>
      <c r="JO249" s="60">
        <v>1</v>
      </c>
      <c r="JP249" s="60">
        <v>1</v>
      </c>
      <c r="JQ249" s="60">
        <v>1</v>
      </c>
      <c r="JR249" s="60">
        <v>1</v>
      </c>
      <c r="JS249" s="60">
        <v>1</v>
      </c>
      <c r="JT249" s="60">
        <v>1</v>
      </c>
      <c r="JU249" s="60">
        <v>1</v>
      </c>
      <c r="JV249" s="60">
        <v>1</v>
      </c>
      <c r="JW249" s="60">
        <v>1</v>
      </c>
      <c r="JX249" s="60">
        <v>1</v>
      </c>
      <c r="JY249" s="60">
        <v>1</v>
      </c>
      <c r="JZ249" s="60">
        <v>1</v>
      </c>
      <c r="KA249" s="60">
        <v>1</v>
      </c>
      <c r="KB249" s="60">
        <v>1</v>
      </c>
      <c r="KC249" s="60">
        <v>1</v>
      </c>
      <c r="KD249" s="60">
        <v>1</v>
      </c>
      <c r="KE249" s="60">
        <v>1</v>
      </c>
      <c r="KF249" s="60">
        <v>1</v>
      </c>
      <c r="KG249" s="60">
        <v>1</v>
      </c>
      <c r="KH249" s="60">
        <v>1</v>
      </c>
      <c r="KI249" s="60">
        <v>1</v>
      </c>
      <c r="KJ249" s="60">
        <v>1</v>
      </c>
      <c r="KK249" s="60">
        <v>1</v>
      </c>
      <c r="KL249" s="60">
        <v>1</v>
      </c>
      <c r="KM249" s="60">
        <v>1</v>
      </c>
      <c r="KN249" s="60">
        <v>1</v>
      </c>
      <c r="KO249" s="60">
        <v>1</v>
      </c>
      <c r="KP249" s="60">
        <v>1</v>
      </c>
      <c r="KQ249" s="60">
        <v>1</v>
      </c>
      <c r="KR249" s="60">
        <v>1</v>
      </c>
      <c r="KS249" s="60">
        <v>1</v>
      </c>
      <c r="KT249" s="60">
        <v>1</v>
      </c>
      <c r="KU249" s="60">
        <v>1</v>
      </c>
      <c r="KV249" s="60">
        <v>1</v>
      </c>
      <c r="KW249" s="60">
        <v>1</v>
      </c>
      <c r="KX249" s="60">
        <v>1</v>
      </c>
      <c r="KY249" s="60">
        <v>1</v>
      </c>
      <c r="KZ249" s="60">
        <v>1</v>
      </c>
      <c r="LA249" s="60">
        <v>1</v>
      </c>
      <c r="LB249" s="60">
        <v>1</v>
      </c>
      <c r="LC249" s="60">
        <v>1</v>
      </c>
      <c r="LD249" s="60">
        <v>1</v>
      </c>
      <c r="LE249" s="60">
        <v>1</v>
      </c>
      <c r="LF249" s="60">
        <v>1</v>
      </c>
      <c r="LG249" s="60">
        <v>1</v>
      </c>
      <c r="LH249" s="60">
        <v>1</v>
      </c>
      <c r="LI249" s="60">
        <v>1</v>
      </c>
      <c r="LJ249" s="60">
        <v>1</v>
      </c>
      <c r="LK249" s="60">
        <v>1</v>
      </c>
      <c r="LL249" s="60">
        <v>1</v>
      </c>
      <c r="LM249" s="60">
        <v>1</v>
      </c>
      <c r="LN249" s="60">
        <v>1</v>
      </c>
      <c r="LO249" s="60">
        <v>1</v>
      </c>
      <c r="LP249" s="60">
        <v>1</v>
      </c>
      <c r="LQ249" s="60">
        <v>1</v>
      </c>
      <c r="LR249" s="60">
        <v>1</v>
      </c>
      <c r="LS249" s="60">
        <v>1</v>
      </c>
      <c r="LT249" s="60">
        <v>1</v>
      </c>
      <c r="LU249" s="60">
        <v>1</v>
      </c>
      <c r="LV249" s="60">
        <v>1</v>
      </c>
      <c r="LW249" s="60">
        <v>1</v>
      </c>
      <c r="LX249" s="60">
        <v>1</v>
      </c>
      <c r="LY249" s="60">
        <v>1</v>
      </c>
      <c r="LZ249" s="60">
        <v>1</v>
      </c>
      <c r="MA249" s="60">
        <v>1</v>
      </c>
      <c r="MB249" s="60">
        <v>1</v>
      </c>
      <c r="MC249" s="60">
        <v>1</v>
      </c>
      <c r="MD249" s="60">
        <v>1</v>
      </c>
      <c r="ME249" s="60">
        <v>1</v>
      </c>
      <c r="MF249" s="60">
        <v>1</v>
      </c>
      <c r="MG249" s="60">
        <v>1</v>
      </c>
      <c r="MH249" s="60">
        <v>1</v>
      </c>
      <c r="MI249" s="60">
        <v>1</v>
      </c>
      <c r="MJ249" s="60">
        <v>1</v>
      </c>
      <c r="MK249" s="60">
        <v>1</v>
      </c>
      <c r="ML249" s="60">
        <v>1</v>
      </c>
      <c r="MM249" s="60">
        <v>1</v>
      </c>
      <c r="MN249" s="60">
        <v>1</v>
      </c>
      <c r="MO249" s="60">
        <v>1</v>
      </c>
      <c r="MP249" s="60">
        <v>1</v>
      </c>
      <c r="MQ249" s="60">
        <v>1</v>
      </c>
      <c r="MR249" s="60">
        <v>1</v>
      </c>
      <c r="MS249" s="60">
        <v>1</v>
      </c>
      <c r="MT249" s="60">
        <v>1</v>
      </c>
      <c r="MU249" s="60">
        <v>1</v>
      </c>
      <c r="MV249" s="60">
        <v>1</v>
      </c>
      <c r="MW249" s="60">
        <v>1</v>
      </c>
      <c r="MX249" s="60">
        <v>1</v>
      </c>
      <c r="MY249" s="60">
        <v>1</v>
      </c>
      <c r="MZ249" s="60">
        <v>1</v>
      </c>
      <c r="NA249" s="60">
        <v>1</v>
      </c>
      <c r="NB249" s="44">
        <v>1</v>
      </c>
    </row>
    <row r="250" spans="1:1098" s="47" customFormat="1" x14ac:dyDescent="0.35">
      <c r="C250" s="61"/>
      <c r="D250" s="60"/>
      <c r="E250" s="62"/>
      <c r="F250" s="63"/>
      <c r="J250" s="62"/>
      <c r="K250" s="64"/>
      <c r="L250" s="63"/>
    </row>
    <row r="251" spans="1:1098" s="47" customFormat="1" x14ac:dyDescent="0.35">
      <c r="C251" s="61"/>
      <c r="D251" s="60"/>
      <c r="E251" s="62"/>
      <c r="F251" s="63"/>
      <c r="J251" s="62"/>
      <c r="K251" s="64"/>
      <c r="L251" s="63"/>
      <c r="HH251" s="65"/>
      <c r="HI251" s="65"/>
      <c r="HJ251" s="65"/>
      <c r="HK251" s="65"/>
      <c r="HL251" s="65"/>
      <c r="HM251" s="65"/>
      <c r="HN251" s="65"/>
      <c r="HO251" s="65"/>
      <c r="HP251" s="65"/>
      <c r="HQ251" s="65"/>
      <c r="HR251" s="65"/>
      <c r="HS251" s="65"/>
      <c r="HT251" s="65"/>
      <c r="HU251" s="65"/>
      <c r="HV251" s="65"/>
      <c r="HW251" s="65"/>
      <c r="HX251" s="65"/>
      <c r="HY251" s="65"/>
      <c r="HZ251" s="65"/>
      <c r="IA251" s="65"/>
      <c r="IB251" s="65"/>
      <c r="IC251" s="65"/>
      <c r="ID251" s="65"/>
      <c r="IE251" s="65"/>
      <c r="IF251" s="65"/>
      <c r="IG251" s="65"/>
      <c r="IH251" s="65"/>
      <c r="II251" s="65"/>
      <c r="IJ251" s="65"/>
      <c r="IK251" s="65"/>
      <c r="IL251" s="65"/>
      <c r="IM251" s="65"/>
      <c r="IN251" s="65"/>
      <c r="IO251" s="65"/>
      <c r="IP251" s="65"/>
      <c r="IQ251" s="65"/>
      <c r="IR251" s="65"/>
      <c r="IS251" s="65"/>
      <c r="IT251" s="65"/>
      <c r="IU251" s="65"/>
      <c r="IV251" s="65"/>
      <c r="IW251" s="65"/>
      <c r="IX251" s="65"/>
      <c r="IY251" s="65"/>
      <c r="IZ251" s="65"/>
      <c r="JA251" s="65"/>
      <c r="JB251" s="65"/>
      <c r="JC251" s="65"/>
      <c r="JD251" s="65"/>
      <c r="JE251" s="65"/>
      <c r="JF251" s="65"/>
      <c r="JG251" s="65"/>
      <c r="JH251" s="65"/>
      <c r="JI251" s="65"/>
      <c r="JJ251" s="65"/>
      <c r="JK251" s="65"/>
      <c r="JL251" s="65"/>
      <c r="JM251" s="65"/>
      <c r="JN251" s="65"/>
      <c r="JO251" s="65"/>
      <c r="JP251" s="65"/>
      <c r="JQ251" s="65"/>
      <c r="JR251" s="65"/>
      <c r="JS251" s="65"/>
      <c r="JT251" s="65"/>
      <c r="JU251" s="65"/>
      <c r="JV251" s="65"/>
      <c r="JW251" s="65"/>
      <c r="JX251" s="65"/>
      <c r="JY251" s="65"/>
      <c r="JZ251" s="65"/>
      <c r="KA251" s="65"/>
      <c r="KB251" s="65"/>
      <c r="KC251" s="65"/>
      <c r="KD251" s="65"/>
      <c r="KE251" s="65"/>
      <c r="KF251" s="65"/>
      <c r="KG251" s="65"/>
      <c r="KH251" s="65"/>
      <c r="KI251" s="65"/>
      <c r="KJ251" s="65"/>
      <c r="KK251" s="65"/>
      <c r="KL251" s="65"/>
      <c r="KM251" s="65"/>
      <c r="KN251" s="65"/>
      <c r="KO251" s="65"/>
      <c r="KP251" s="65"/>
      <c r="KQ251" s="65"/>
      <c r="KR251" s="65"/>
      <c r="KS251" s="65"/>
      <c r="KT251" s="65"/>
      <c r="KU251" s="65"/>
      <c r="KV251" s="65"/>
      <c r="KW251" s="65"/>
      <c r="KX251" s="65"/>
      <c r="KY251" s="65"/>
      <c r="KZ251" s="65"/>
      <c r="LA251" s="65"/>
      <c r="LB251" s="65"/>
      <c r="LC251" s="65"/>
      <c r="LD251" s="65"/>
      <c r="LE251" s="65"/>
      <c r="LF251" s="65"/>
      <c r="LG251" s="65"/>
      <c r="LH251" s="65"/>
      <c r="LI251" s="65"/>
      <c r="LJ251" s="65"/>
      <c r="LK251" s="65"/>
      <c r="LL251" s="65"/>
      <c r="LM251" s="65"/>
      <c r="LN251" s="65"/>
      <c r="LO251" s="65"/>
      <c r="LP251" s="65"/>
      <c r="LQ251" s="65"/>
      <c r="LR251" s="65"/>
      <c r="LS251" s="65"/>
      <c r="LT251" s="65"/>
      <c r="LU251" s="65"/>
      <c r="LV251" s="65"/>
      <c r="LW251" s="65"/>
      <c r="LX251" s="65"/>
      <c r="LY251" s="65"/>
      <c r="LZ251" s="65"/>
      <c r="MA251" s="65"/>
      <c r="MB251" s="65"/>
      <c r="MC251" s="65"/>
      <c r="MD251" s="65"/>
      <c r="ME251" s="65"/>
      <c r="MF251" s="65"/>
      <c r="MG251" s="65"/>
      <c r="MH251" s="65"/>
      <c r="MI251" s="65"/>
      <c r="MJ251" s="65"/>
      <c r="MK251" s="65"/>
      <c r="ML251" s="65"/>
      <c r="MM251" s="65"/>
      <c r="MN251" s="65"/>
      <c r="MO251" s="65"/>
      <c r="MP251" s="65"/>
      <c r="MQ251" s="65"/>
      <c r="MR251" s="65"/>
      <c r="MS251" s="65"/>
      <c r="MT251" s="65"/>
      <c r="MU251" s="65"/>
      <c r="MV251" s="65"/>
      <c r="MW251" s="65"/>
      <c r="MX251" s="65"/>
      <c r="MY251" s="65"/>
      <c r="MZ251" s="65"/>
      <c r="NA251" s="65"/>
      <c r="NB251" s="65"/>
    </row>
    <row r="252" spans="1:1098" s="47" customFormat="1" x14ac:dyDescent="0.35"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  <c r="BL252" s="60"/>
      <c r="BM252" s="60"/>
      <c r="BN252" s="60"/>
      <c r="BO252" s="60"/>
      <c r="BP252" s="60"/>
      <c r="BQ252" s="60"/>
      <c r="BR252" s="60"/>
      <c r="BS252" s="60"/>
      <c r="BT252" s="60"/>
      <c r="BU252" s="60"/>
      <c r="BV252" s="60"/>
      <c r="BW252" s="60"/>
      <c r="BX252" s="60"/>
      <c r="BY252" s="60"/>
      <c r="BZ252" s="60"/>
      <c r="CA252" s="60"/>
      <c r="CB252" s="60"/>
      <c r="CC252" s="60"/>
      <c r="CD252" s="60"/>
      <c r="CE252" s="60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  <c r="DR252" s="60"/>
      <c r="DS252" s="60"/>
      <c r="DT252" s="60"/>
      <c r="DU252" s="60"/>
      <c r="DV252" s="60"/>
      <c r="DW252" s="60"/>
      <c r="DX252" s="60"/>
      <c r="DY252" s="60"/>
      <c r="DZ252" s="60"/>
      <c r="EA252" s="60"/>
      <c r="EB252" s="60"/>
      <c r="EC252" s="60"/>
      <c r="ED252" s="60"/>
      <c r="EE252" s="60"/>
      <c r="EF252" s="60"/>
      <c r="EG252" s="60"/>
      <c r="EH252" s="60"/>
      <c r="EI252" s="60"/>
      <c r="EJ252" s="60"/>
      <c r="EK252" s="60"/>
      <c r="EL252" s="60"/>
      <c r="EM252" s="60"/>
      <c r="EN252" s="60"/>
      <c r="EO252" s="60"/>
      <c r="EP252" s="60"/>
      <c r="EQ252" s="60"/>
      <c r="ER252" s="60"/>
      <c r="ES252" s="60"/>
      <c r="ET252" s="60"/>
      <c r="EU252" s="60"/>
      <c r="EV252" s="60"/>
      <c r="EW252" s="60"/>
      <c r="EX252" s="60"/>
      <c r="EY252" s="60"/>
      <c r="EZ252" s="60"/>
      <c r="FA252" s="60"/>
      <c r="FB252" s="60"/>
      <c r="FC252" s="60"/>
      <c r="FD252" s="60"/>
      <c r="FE252" s="60"/>
      <c r="FF252" s="60"/>
      <c r="FG252" s="60"/>
      <c r="FH252" s="60"/>
      <c r="FI252" s="60"/>
      <c r="FJ252" s="60"/>
      <c r="FK252" s="60"/>
      <c r="FL252" s="60"/>
      <c r="FM252" s="60"/>
      <c r="FN252" s="60"/>
      <c r="FO252" s="60"/>
      <c r="FP252" s="60"/>
      <c r="FQ252" s="60"/>
      <c r="FR252" s="60"/>
      <c r="FS252" s="60"/>
      <c r="FT252" s="60"/>
      <c r="FU252" s="60"/>
      <c r="FV252" s="60"/>
      <c r="FW252" s="60"/>
      <c r="FX252" s="60"/>
      <c r="FY252" s="60"/>
      <c r="FZ252" s="60"/>
      <c r="GA252" s="60"/>
      <c r="GB252" s="60"/>
      <c r="GC252" s="60"/>
      <c r="GD252" s="60"/>
      <c r="GE252" s="60"/>
      <c r="GF252" s="60"/>
      <c r="GG252" s="60"/>
      <c r="GH252" s="60"/>
      <c r="GI252" s="60"/>
      <c r="GJ252" s="60"/>
      <c r="GK252" s="60"/>
      <c r="GL252" s="60"/>
      <c r="GM252" s="60"/>
      <c r="GN252" s="60"/>
      <c r="GO252" s="60"/>
      <c r="GP252" s="60"/>
      <c r="GQ252" s="60"/>
      <c r="GR252" s="60"/>
      <c r="GS252" s="60"/>
      <c r="GT252" s="60"/>
      <c r="GU252" s="60"/>
      <c r="GV252" s="60"/>
      <c r="GW252" s="60"/>
      <c r="GX252" s="60"/>
      <c r="GY252" s="60"/>
      <c r="GZ252" s="60"/>
      <c r="HA252" s="60"/>
      <c r="HB252" s="60"/>
      <c r="HC252" s="60"/>
      <c r="HD252" s="60"/>
      <c r="HE252" s="60"/>
      <c r="HF252" s="60"/>
      <c r="HG252" s="60"/>
      <c r="HH252" s="65"/>
      <c r="HI252" s="65"/>
      <c r="HJ252" s="65"/>
      <c r="HK252" s="65"/>
      <c r="HL252" s="65"/>
      <c r="HM252" s="65"/>
      <c r="HN252" s="65"/>
      <c r="HO252" s="65"/>
      <c r="HP252" s="65"/>
      <c r="HQ252" s="65"/>
      <c r="HR252" s="65"/>
      <c r="HS252" s="65"/>
      <c r="HT252" s="65"/>
      <c r="HU252" s="65"/>
      <c r="HV252" s="65"/>
      <c r="HW252" s="65"/>
      <c r="HX252" s="65"/>
      <c r="HY252" s="65"/>
      <c r="HZ252" s="65"/>
      <c r="IA252" s="65"/>
      <c r="IB252" s="65"/>
      <c r="IC252" s="65"/>
      <c r="ID252" s="65"/>
      <c r="IE252" s="65"/>
      <c r="IF252" s="65"/>
      <c r="IG252" s="65"/>
      <c r="IH252" s="65"/>
      <c r="II252" s="65"/>
      <c r="IJ252" s="65"/>
      <c r="IK252" s="65"/>
      <c r="IL252" s="65"/>
      <c r="IM252" s="65"/>
      <c r="IN252" s="65"/>
      <c r="IO252" s="65"/>
      <c r="IP252" s="65"/>
      <c r="IQ252" s="65"/>
      <c r="IR252" s="65"/>
      <c r="IS252" s="65"/>
      <c r="IT252" s="65"/>
      <c r="IU252" s="65"/>
      <c r="IV252" s="65"/>
      <c r="IW252" s="65"/>
      <c r="IX252" s="65"/>
      <c r="IY252" s="65"/>
      <c r="IZ252" s="65"/>
      <c r="JA252" s="65"/>
      <c r="JB252" s="65"/>
      <c r="JC252" s="65"/>
      <c r="JD252" s="65"/>
      <c r="JE252" s="65"/>
      <c r="JF252" s="65"/>
      <c r="JG252" s="65"/>
      <c r="JH252" s="65"/>
      <c r="JI252" s="65"/>
      <c r="JJ252" s="65"/>
      <c r="JK252" s="65"/>
      <c r="JL252" s="65"/>
      <c r="JM252" s="65"/>
      <c r="JN252" s="65"/>
      <c r="JO252" s="65"/>
      <c r="JP252" s="65"/>
      <c r="JQ252" s="65"/>
      <c r="JR252" s="65"/>
      <c r="JS252" s="65"/>
      <c r="JT252" s="65"/>
      <c r="JU252" s="65"/>
      <c r="JV252" s="65"/>
      <c r="JW252" s="65"/>
      <c r="JX252" s="65"/>
      <c r="JY252" s="65"/>
      <c r="JZ252" s="65"/>
      <c r="KA252" s="65"/>
      <c r="KB252" s="65"/>
      <c r="KC252" s="65"/>
      <c r="KD252" s="65"/>
      <c r="KE252" s="65"/>
      <c r="KF252" s="65"/>
      <c r="KG252" s="65"/>
      <c r="KH252" s="65"/>
      <c r="KI252" s="65"/>
      <c r="KJ252" s="65"/>
      <c r="KK252" s="65"/>
      <c r="KL252" s="65"/>
      <c r="KM252" s="65"/>
      <c r="KN252" s="65"/>
      <c r="KO252" s="65"/>
      <c r="KP252" s="65"/>
      <c r="KQ252" s="65"/>
      <c r="KR252" s="65"/>
      <c r="KS252" s="65"/>
      <c r="KT252" s="65"/>
      <c r="KU252" s="65"/>
      <c r="KV252" s="65"/>
      <c r="KW252" s="65"/>
      <c r="KX252" s="65"/>
      <c r="KY252" s="65"/>
      <c r="KZ252" s="65"/>
      <c r="LA252" s="65"/>
      <c r="LB252" s="65"/>
      <c r="LC252" s="65"/>
      <c r="LD252" s="65"/>
      <c r="LE252" s="65"/>
      <c r="LF252" s="65"/>
      <c r="LG252" s="65"/>
      <c r="LH252" s="65"/>
      <c r="LI252" s="65"/>
      <c r="LJ252" s="65"/>
      <c r="LK252" s="65"/>
      <c r="LL252" s="65"/>
      <c r="LM252" s="65"/>
      <c r="LN252" s="65"/>
      <c r="LO252" s="65"/>
      <c r="LP252" s="65"/>
      <c r="LQ252" s="65"/>
      <c r="LR252" s="65"/>
      <c r="LS252" s="65"/>
      <c r="LT252" s="65"/>
      <c r="LU252" s="65"/>
      <c r="LV252" s="65"/>
      <c r="LW252" s="65"/>
      <c r="LX252" s="65"/>
      <c r="LY252" s="65"/>
      <c r="LZ252" s="65"/>
      <c r="MA252" s="65"/>
      <c r="MB252" s="65"/>
      <c r="MC252" s="65"/>
      <c r="MD252" s="65"/>
      <c r="ME252" s="65"/>
      <c r="MF252" s="65"/>
      <c r="MG252" s="65"/>
      <c r="MH252" s="65"/>
      <c r="MI252" s="65"/>
      <c r="MJ252" s="65"/>
      <c r="MK252" s="65"/>
      <c r="ML252" s="65"/>
      <c r="MM252" s="65"/>
      <c r="MN252" s="65"/>
      <c r="MO252" s="65"/>
      <c r="MP252" s="65"/>
      <c r="MQ252" s="65"/>
      <c r="MR252" s="65"/>
      <c r="MS252" s="65"/>
      <c r="MT252" s="65"/>
      <c r="MU252" s="65"/>
      <c r="MV252" s="65"/>
      <c r="MW252" s="65"/>
      <c r="MX252" s="65"/>
      <c r="MY252" s="65"/>
      <c r="MZ252" s="65"/>
      <c r="NA252" s="65"/>
      <c r="NB252" s="65"/>
    </row>
    <row r="253" spans="1:1098" s="47" customFormat="1" x14ac:dyDescent="0.35">
      <c r="C253" s="61"/>
      <c r="D253" s="60"/>
      <c r="E253" s="62"/>
      <c r="F253" s="63"/>
      <c r="J253" s="62"/>
      <c r="K253" s="64"/>
      <c r="L253" s="63"/>
      <c r="HH253" s="65"/>
      <c r="HI253" s="65"/>
      <c r="HJ253" s="65"/>
      <c r="HK253" s="65"/>
      <c r="HL253" s="65"/>
      <c r="HM253" s="65"/>
      <c r="HN253" s="65"/>
      <c r="HO253" s="65"/>
      <c r="HP253" s="65"/>
      <c r="HQ253" s="65"/>
      <c r="HR253" s="65"/>
      <c r="HS253" s="65"/>
      <c r="HT253" s="65"/>
      <c r="HU253" s="65"/>
      <c r="HV253" s="65"/>
      <c r="HW253" s="65"/>
      <c r="HX253" s="65"/>
      <c r="HY253" s="65"/>
      <c r="HZ253" s="65"/>
      <c r="IA253" s="65"/>
      <c r="IB253" s="65"/>
      <c r="IC253" s="65"/>
      <c r="ID253" s="65"/>
      <c r="IE253" s="65"/>
      <c r="IF253" s="65"/>
      <c r="IG253" s="65"/>
      <c r="IH253" s="65"/>
      <c r="II253" s="65"/>
      <c r="IJ253" s="65"/>
      <c r="IK253" s="65"/>
      <c r="IL253" s="65"/>
      <c r="IM253" s="65"/>
      <c r="IN253" s="65"/>
      <c r="IO253" s="65"/>
      <c r="IP253" s="65"/>
      <c r="IQ253" s="65"/>
      <c r="IR253" s="65"/>
      <c r="IS253" s="65"/>
      <c r="IT253" s="65"/>
      <c r="IU253" s="65"/>
      <c r="IV253" s="65"/>
      <c r="IW253" s="65"/>
      <c r="IX253" s="65"/>
      <c r="IY253" s="65"/>
      <c r="IZ253" s="65"/>
      <c r="JA253" s="65"/>
      <c r="JB253" s="65"/>
      <c r="JC253" s="65"/>
      <c r="JD253" s="65"/>
      <c r="JE253" s="65"/>
      <c r="JF253" s="65"/>
      <c r="JG253" s="65"/>
      <c r="JH253" s="65"/>
      <c r="JI253" s="65"/>
      <c r="JJ253" s="65"/>
      <c r="JK253" s="65"/>
      <c r="JL253" s="65"/>
      <c r="JM253" s="65"/>
      <c r="JN253" s="65"/>
      <c r="JO253" s="65"/>
      <c r="JP253" s="65"/>
      <c r="JQ253" s="65"/>
      <c r="JR253" s="65"/>
      <c r="JS253" s="65"/>
      <c r="JT253" s="65"/>
      <c r="JU253" s="65"/>
      <c r="JV253" s="65"/>
      <c r="JW253" s="65"/>
      <c r="JX253" s="65"/>
      <c r="JY253" s="65"/>
      <c r="JZ253" s="65"/>
      <c r="KA253" s="65"/>
      <c r="KB253" s="65"/>
      <c r="KC253" s="65"/>
      <c r="KD253" s="65"/>
      <c r="KE253" s="65"/>
      <c r="KF253" s="65"/>
      <c r="KG253" s="65"/>
      <c r="KH253" s="65"/>
      <c r="KI253" s="65"/>
      <c r="KJ253" s="65"/>
      <c r="KK253" s="65"/>
      <c r="KL253" s="65"/>
      <c r="KM253" s="65"/>
      <c r="KN253" s="65"/>
      <c r="KO253" s="65"/>
      <c r="KP253" s="65"/>
      <c r="KQ253" s="65"/>
      <c r="KR253" s="65"/>
      <c r="KS253" s="65"/>
      <c r="KT253" s="65"/>
      <c r="KU253" s="65"/>
      <c r="KV253" s="65"/>
      <c r="KW253" s="65"/>
      <c r="KX253" s="65"/>
      <c r="KY253" s="65"/>
      <c r="KZ253" s="65"/>
      <c r="LA253" s="65"/>
      <c r="LB253" s="65"/>
      <c r="LC253" s="65"/>
      <c r="LD253" s="65"/>
      <c r="LE253" s="65"/>
      <c r="LF253" s="65"/>
      <c r="LG253" s="65"/>
      <c r="LH253" s="65"/>
      <c r="LI253" s="65"/>
      <c r="LJ253" s="65"/>
      <c r="LK253" s="65"/>
      <c r="LL253" s="65"/>
      <c r="LM253" s="65"/>
      <c r="LN253" s="65"/>
      <c r="LO253" s="65"/>
      <c r="LP253" s="65"/>
      <c r="LQ253" s="65"/>
      <c r="LR253" s="65"/>
      <c r="LS253" s="65"/>
      <c r="LT253" s="65"/>
      <c r="LU253" s="65"/>
      <c r="LV253" s="65"/>
      <c r="LW253" s="65"/>
      <c r="LX253" s="65"/>
      <c r="LY253" s="65"/>
      <c r="LZ253" s="65"/>
      <c r="MA253" s="65"/>
      <c r="MB253" s="65"/>
      <c r="MC253" s="65"/>
      <c r="MD253" s="65"/>
      <c r="ME253" s="65"/>
      <c r="MF253" s="65"/>
      <c r="MG253" s="65"/>
      <c r="MH253" s="65"/>
      <c r="MI253" s="65"/>
      <c r="MJ253" s="65"/>
      <c r="MK253" s="65"/>
      <c r="ML253" s="65"/>
      <c r="MM253" s="65"/>
      <c r="MN253" s="65"/>
      <c r="MO253" s="65"/>
      <c r="MP253" s="65"/>
      <c r="MQ253" s="65"/>
      <c r="MR253" s="65"/>
      <c r="MS253" s="65"/>
      <c r="MT253" s="65"/>
      <c r="MU253" s="65"/>
      <c r="MV253" s="65"/>
      <c r="MW253" s="65"/>
      <c r="MX253" s="65"/>
      <c r="MY253" s="65"/>
      <c r="MZ253" s="65"/>
      <c r="NA253" s="65"/>
      <c r="NB253" s="65"/>
    </row>
    <row r="254" spans="1:1098" s="47" customFormat="1" x14ac:dyDescent="0.35">
      <c r="C254" s="60"/>
      <c r="D254" s="60"/>
      <c r="E254" s="62"/>
      <c r="F254" s="63"/>
      <c r="J254" s="62"/>
      <c r="K254" s="64"/>
      <c r="L254" s="63"/>
      <c r="HH254" s="65"/>
      <c r="HI254" s="65"/>
      <c r="HJ254" s="65"/>
      <c r="HK254" s="65"/>
      <c r="HL254" s="65"/>
      <c r="HM254" s="65"/>
      <c r="HN254" s="65"/>
      <c r="HO254" s="65"/>
      <c r="HP254" s="65"/>
      <c r="HQ254" s="65"/>
      <c r="HR254" s="65"/>
      <c r="HS254" s="65"/>
      <c r="HT254" s="65"/>
      <c r="HU254" s="65"/>
      <c r="HV254" s="65"/>
      <c r="HW254" s="65"/>
      <c r="HX254" s="65"/>
      <c r="HY254" s="65"/>
      <c r="HZ254" s="65"/>
      <c r="IA254" s="65"/>
      <c r="IB254" s="65"/>
      <c r="IC254" s="65"/>
      <c r="ID254" s="65"/>
      <c r="IE254" s="65"/>
      <c r="IF254" s="65"/>
      <c r="IG254" s="65"/>
      <c r="IH254" s="65"/>
      <c r="II254" s="65"/>
      <c r="IJ254" s="65"/>
      <c r="IK254" s="65"/>
      <c r="IL254" s="65"/>
      <c r="IM254" s="65"/>
      <c r="IN254" s="65"/>
      <c r="IO254" s="65"/>
      <c r="IP254" s="65"/>
      <c r="IQ254" s="65"/>
      <c r="IR254" s="65"/>
      <c r="IS254" s="65"/>
      <c r="IT254" s="65"/>
      <c r="IU254" s="65"/>
      <c r="IV254" s="65"/>
      <c r="IW254" s="65"/>
      <c r="IX254" s="65"/>
      <c r="IY254" s="65"/>
      <c r="IZ254" s="65"/>
      <c r="JA254" s="65"/>
      <c r="JB254" s="65"/>
      <c r="JC254" s="65"/>
      <c r="JD254" s="65"/>
      <c r="JE254" s="65"/>
      <c r="JF254" s="65"/>
      <c r="JG254" s="65"/>
      <c r="JH254" s="65"/>
      <c r="JI254" s="65"/>
      <c r="JJ254" s="65"/>
      <c r="JK254" s="65"/>
      <c r="JL254" s="65"/>
      <c r="JM254" s="65"/>
      <c r="JN254" s="65"/>
      <c r="JO254" s="65"/>
      <c r="JP254" s="65"/>
      <c r="JQ254" s="65"/>
      <c r="JR254" s="65"/>
      <c r="JS254" s="65"/>
      <c r="JT254" s="65"/>
      <c r="JU254" s="65"/>
      <c r="JV254" s="65"/>
      <c r="JW254" s="65"/>
      <c r="JX254" s="65"/>
      <c r="JY254" s="65"/>
      <c r="JZ254" s="65"/>
      <c r="KA254" s="65"/>
      <c r="KB254" s="65"/>
      <c r="KC254" s="65"/>
      <c r="KD254" s="65"/>
      <c r="KE254" s="65"/>
      <c r="KF254" s="65"/>
      <c r="KG254" s="65"/>
      <c r="KH254" s="65"/>
      <c r="KI254" s="65"/>
      <c r="KJ254" s="65"/>
      <c r="KK254" s="65"/>
      <c r="KL254" s="65"/>
      <c r="KM254" s="65"/>
      <c r="KN254" s="65"/>
      <c r="KO254" s="65"/>
      <c r="KP254" s="65"/>
      <c r="KQ254" s="65"/>
      <c r="KR254" s="65"/>
      <c r="KS254" s="65"/>
      <c r="KT254" s="65"/>
      <c r="KU254" s="65"/>
      <c r="KV254" s="65"/>
      <c r="KW254" s="65"/>
      <c r="KX254" s="65"/>
      <c r="KY254" s="65"/>
      <c r="KZ254" s="65"/>
      <c r="LA254" s="65"/>
      <c r="LB254" s="65"/>
      <c r="LC254" s="65"/>
      <c r="LD254" s="65"/>
      <c r="LE254" s="65"/>
      <c r="LF254" s="65"/>
      <c r="LG254" s="65"/>
      <c r="LH254" s="65"/>
      <c r="LI254" s="65"/>
      <c r="LJ254" s="65"/>
      <c r="LK254" s="65"/>
      <c r="LL254" s="65"/>
      <c r="LM254" s="65"/>
      <c r="LN254" s="65"/>
      <c r="LO254" s="65"/>
      <c r="LP254" s="65"/>
      <c r="LQ254" s="65"/>
      <c r="LR254" s="65"/>
      <c r="LS254" s="65"/>
      <c r="LT254" s="65"/>
      <c r="LU254" s="65"/>
      <c r="LV254" s="65"/>
      <c r="LW254" s="65"/>
      <c r="LX254" s="65"/>
      <c r="LY254" s="65"/>
      <c r="LZ254" s="65"/>
      <c r="MA254" s="65"/>
      <c r="MB254" s="65"/>
      <c r="MC254" s="65"/>
      <c r="MD254" s="65"/>
      <c r="ME254" s="65"/>
      <c r="MF254" s="65"/>
      <c r="MG254" s="65"/>
      <c r="MH254" s="65"/>
      <c r="MI254" s="65"/>
      <c r="MJ254" s="65"/>
      <c r="MK254" s="65"/>
      <c r="ML254" s="65"/>
      <c r="MM254" s="65"/>
      <c r="MN254" s="65"/>
      <c r="MO254" s="65"/>
      <c r="MP254" s="65"/>
      <c r="MQ254" s="65"/>
      <c r="MR254" s="65"/>
      <c r="MS254" s="65"/>
      <c r="MT254" s="65"/>
      <c r="MU254" s="65"/>
      <c r="MV254" s="65"/>
      <c r="MW254" s="65"/>
      <c r="MX254" s="65"/>
      <c r="MY254" s="65"/>
      <c r="MZ254" s="65"/>
      <c r="NA254" s="65"/>
      <c r="NB254" s="65"/>
    </row>
    <row r="255" spans="1:1098" s="47" customFormat="1" x14ac:dyDescent="0.35">
      <c r="C255" s="60"/>
      <c r="D255" s="60"/>
      <c r="E255" s="62"/>
      <c r="F255" s="63"/>
      <c r="J255" s="62"/>
      <c r="K255" s="64"/>
      <c r="L255" s="63"/>
      <c r="HH255" s="65"/>
    </row>
    <row r="256" spans="1:1098" s="47" customFormat="1" x14ac:dyDescent="0.35">
      <c r="C256" s="60"/>
      <c r="D256" s="60"/>
      <c r="E256" s="62"/>
      <c r="F256" s="63"/>
      <c r="J256" s="62"/>
      <c r="K256" s="64"/>
      <c r="L256" s="63"/>
      <c r="HH256" s="50"/>
      <c r="HI256" s="50"/>
      <c r="HJ256" s="50"/>
      <c r="HK256" s="50"/>
      <c r="HL256" s="50"/>
      <c r="HM256" s="50"/>
      <c r="HN256" s="50"/>
      <c r="HO256" s="50"/>
      <c r="HP256" s="50"/>
      <c r="HQ256" s="50"/>
      <c r="HR256" s="50"/>
      <c r="HS256" s="50"/>
      <c r="HT256" s="50"/>
      <c r="HU256" s="50"/>
      <c r="HV256" s="50"/>
      <c r="HW256" s="50"/>
      <c r="HX256" s="50"/>
      <c r="HY256" s="50"/>
      <c r="HZ256" s="50"/>
      <c r="IA256" s="50"/>
      <c r="IB256" s="50"/>
      <c r="IC256" s="50"/>
      <c r="ID256" s="50"/>
      <c r="IE256" s="50"/>
      <c r="IF256" s="50"/>
      <c r="IG256" s="50"/>
      <c r="IH256" s="50"/>
      <c r="II256" s="50"/>
      <c r="IJ256" s="50"/>
      <c r="IK256" s="50"/>
      <c r="IL256" s="50"/>
      <c r="IM256" s="50"/>
      <c r="IN256" s="50"/>
      <c r="IO256" s="50"/>
      <c r="IP256" s="50"/>
      <c r="IQ256" s="50"/>
      <c r="IR256" s="50"/>
      <c r="IS256" s="50"/>
      <c r="IT256" s="50"/>
      <c r="IU256" s="50"/>
      <c r="IV256" s="50"/>
      <c r="IW256" s="50"/>
      <c r="IX256" s="50"/>
      <c r="IY256" s="50"/>
      <c r="IZ256" s="50"/>
      <c r="JA256" s="50"/>
      <c r="JB256" s="50"/>
      <c r="JC256" s="50"/>
      <c r="JD256" s="50"/>
      <c r="JE256" s="50"/>
      <c r="JF256" s="50"/>
      <c r="JG256" s="50"/>
      <c r="JH256" s="50"/>
      <c r="JI256" s="50"/>
      <c r="JJ256" s="50"/>
      <c r="JK256" s="50"/>
      <c r="JL256" s="50"/>
      <c r="JM256" s="50"/>
      <c r="JN256" s="50"/>
      <c r="JO256" s="50"/>
      <c r="JP256" s="50"/>
      <c r="JQ256" s="50"/>
      <c r="JR256" s="50"/>
      <c r="JS256" s="50"/>
      <c r="JT256" s="50"/>
      <c r="JU256" s="50"/>
      <c r="JV256" s="50"/>
      <c r="JW256" s="50"/>
      <c r="JX256" s="50"/>
      <c r="JY256" s="50"/>
      <c r="JZ256" s="50"/>
      <c r="KA256" s="50"/>
      <c r="KB256" s="50"/>
      <c r="KC256" s="50"/>
      <c r="KD256" s="50"/>
      <c r="KE256" s="50"/>
      <c r="KF256" s="50"/>
      <c r="KG256" s="50"/>
      <c r="KH256" s="50"/>
      <c r="KI256" s="50"/>
      <c r="KJ256" s="50"/>
      <c r="KK256" s="50"/>
      <c r="KL256" s="50"/>
      <c r="KM256" s="50"/>
      <c r="KN256" s="50"/>
      <c r="KO256" s="50"/>
      <c r="KP256" s="50"/>
      <c r="KQ256" s="50"/>
      <c r="KR256" s="50"/>
      <c r="KS256" s="50"/>
      <c r="KT256" s="50"/>
      <c r="KU256" s="50"/>
      <c r="KV256" s="50"/>
      <c r="KW256" s="50"/>
      <c r="KX256" s="50"/>
      <c r="KY256" s="50"/>
      <c r="KZ256" s="50"/>
      <c r="LA256" s="50"/>
      <c r="LB256" s="50"/>
      <c r="LC256" s="50"/>
      <c r="LD256" s="50"/>
      <c r="LE256" s="50"/>
      <c r="LF256" s="50"/>
      <c r="LG256" s="50"/>
      <c r="LH256" s="50"/>
      <c r="LI256" s="50"/>
      <c r="LJ256" s="50"/>
      <c r="LK256" s="50"/>
      <c r="LL256" s="50"/>
      <c r="LM256" s="50"/>
      <c r="LN256" s="50"/>
      <c r="LO256" s="50"/>
      <c r="LP256" s="50"/>
      <c r="LQ256" s="50"/>
      <c r="LR256" s="50"/>
      <c r="LS256" s="50"/>
      <c r="LT256" s="50"/>
      <c r="LU256" s="50"/>
      <c r="LV256" s="50"/>
      <c r="LW256" s="50"/>
      <c r="LX256" s="50"/>
      <c r="LY256" s="50"/>
      <c r="LZ256" s="50"/>
      <c r="MA256" s="50"/>
      <c r="MB256" s="50"/>
      <c r="MC256" s="50"/>
      <c r="MD256" s="50"/>
      <c r="ME256" s="50"/>
      <c r="MF256" s="50"/>
      <c r="MG256" s="50"/>
      <c r="MH256" s="50"/>
      <c r="MI256" s="50"/>
      <c r="MJ256" s="50"/>
      <c r="MK256" s="50"/>
      <c r="ML256" s="50"/>
      <c r="MM256" s="50"/>
      <c r="MN256" s="50"/>
      <c r="MO256" s="50"/>
      <c r="MP256" s="50"/>
      <c r="MQ256" s="50"/>
      <c r="MR256" s="50"/>
      <c r="MS256" s="50"/>
      <c r="MT256" s="50"/>
      <c r="MU256" s="50"/>
      <c r="MV256" s="50"/>
      <c r="MW256" s="50"/>
      <c r="MX256" s="50"/>
      <c r="MY256" s="50"/>
      <c r="MZ256" s="50"/>
      <c r="NA256" s="50"/>
      <c r="NB256" s="50"/>
    </row>
    <row r="257" spans="3:366" x14ac:dyDescent="0.35">
      <c r="C257" s="31"/>
      <c r="D257" s="31"/>
      <c r="E257" s="26"/>
      <c r="F257" s="34"/>
      <c r="J257" s="26"/>
      <c r="K257" s="25"/>
      <c r="L257" s="34"/>
      <c r="Q257" s="31"/>
      <c r="R257" s="31"/>
      <c r="S257" s="31"/>
      <c r="HH257" t="b">
        <f>HI256&gt;=HH245</f>
        <v>0</v>
      </c>
      <c r="HI257" t="b">
        <f t="shared" ref="HI257:JT257" si="30">HJ256&gt;=HI245</f>
        <v>0</v>
      </c>
      <c r="HJ257" t="b">
        <f t="shared" si="30"/>
        <v>0</v>
      </c>
      <c r="HK257" t="b">
        <f t="shared" si="30"/>
        <v>0</v>
      </c>
      <c r="HL257" t="b">
        <f t="shared" si="30"/>
        <v>0</v>
      </c>
      <c r="HM257" t="b">
        <f t="shared" si="30"/>
        <v>0</v>
      </c>
      <c r="HN257" t="b">
        <f t="shared" si="30"/>
        <v>0</v>
      </c>
      <c r="HO257" t="b">
        <f t="shared" si="30"/>
        <v>0</v>
      </c>
      <c r="HP257" t="b">
        <f t="shared" si="30"/>
        <v>0</v>
      </c>
      <c r="HQ257" t="b">
        <f t="shared" si="30"/>
        <v>0</v>
      </c>
      <c r="HR257" t="b">
        <f t="shared" si="30"/>
        <v>0</v>
      </c>
      <c r="HS257" t="b">
        <f t="shared" si="30"/>
        <v>0</v>
      </c>
      <c r="HT257" t="b">
        <f t="shared" si="30"/>
        <v>0</v>
      </c>
      <c r="HU257" t="b">
        <f t="shared" si="30"/>
        <v>0</v>
      </c>
      <c r="HV257" t="b">
        <f t="shared" si="30"/>
        <v>0</v>
      </c>
      <c r="HW257" t="b">
        <f t="shared" si="30"/>
        <v>0</v>
      </c>
      <c r="HX257" t="b">
        <f t="shared" si="30"/>
        <v>0</v>
      </c>
      <c r="HY257" t="b">
        <f t="shared" si="30"/>
        <v>0</v>
      </c>
      <c r="HZ257" t="b">
        <f t="shared" si="30"/>
        <v>0</v>
      </c>
      <c r="IA257" t="b">
        <f t="shared" si="30"/>
        <v>0</v>
      </c>
      <c r="IB257" t="b">
        <f t="shared" si="30"/>
        <v>0</v>
      </c>
      <c r="IC257" t="b">
        <f t="shared" si="30"/>
        <v>0</v>
      </c>
      <c r="ID257" t="b">
        <f t="shared" si="30"/>
        <v>0</v>
      </c>
      <c r="IE257" t="b">
        <f t="shared" si="30"/>
        <v>0</v>
      </c>
      <c r="IF257" t="b">
        <f t="shared" si="30"/>
        <v>0</v>
      </c>
      <c r="IG257" t="b">
        <f t="shared" si="30"/>
        <v>0</v>
      </c>
      <c r="IH257" t="b">
        <f t="shared" si="30"/>
        <v>0</v>
      </c>
      <c r="II257" t="b">
        <f t="shared" si="30"/>
        <v>0</v>
      </c>
      <c r="IJ257" t="b">
        <f t="shared" si="30"/>
        <v>0</v>
      </c>
      <c r="IK257" t="b">
        <f t="shared" si="30"/>
        <v>0</v>
      </c>
      <c r="IL257" t="b">
        <f t="shared" si="30"/>
        <v>0</v>
      </c>
      <c r="IM257" t="b">
        <f t="shared" si="30"/>
        <v>0</v>
      </c>
      <c r="IN257" t="b">
        <f t="shared" si="30"/>
        <v>0</v>
      </c>
      <c r="IO257" t="b">
        <f t="shared" si="30"/>
        <v>0</v>
      </c>
      <c r="IP257" t="b">
        <f t="shared" si="30"/>
        <v>0</v>
      </c>
      <c r="IQ257" t="b">
        <f t="shared" si="30"/>
        <v>0</v>
      </c>
      <c r="IR257" t="b">
        <f t="shared" si="30"/>
        <v>0</v>
      </c>
      <c r="IS257" t="b">
        <f t="shared" si="30"/>
        <v>0</v>
      </c>
      <c r="IT257" t="b">
        <f t="shared" si="30"/>
        <v>0</v>
      </c>
      <c r="IU257" t="b">
        <f t="shared" si="30"/>
        <v>0</v>
      </c>
      <c r="IV257" t="b">
        <f t="shared" si="30"/>
        <v>0</v>
      </c>
      <c r="IW257" t="b">
        <f t="shared" si="30"/>
        <v>0</v>
      </c>
      <c r="IX257" t="b">
        <f t="shared" si="30"/>
        <v>0</v>
      </c>
      <c r="IY257" t="b">
        <f t="shared" si="30"/>
        <v>0</v>
      </c>
      <c r="IZ257" t="b">
        <f t="shared" si="30"/>
        <v>0</v>
      </c>
      <c r="JA257" t="b">
        <f t="shared" si="30"/>
        <v>0</v>
      </c>
      <c r="JB257" t="b">
        <f t="shared" si="30"/>
        <v>0</v>
      </c>
      <c r="JC257" t="b">
        <f t="shared" si="30"/>
        <v>0</v>
      </c>
      <c r="JD257" t="b">
        <f t="shared" si="30"/>
        <v>0</v>
      </c>
      <c r="JE257" t="b">
        <f t="shared" si="30"/>
        <v>0</v>
      </c>
      <c r="JF257" t="b">
        <f t="shared" si="30"/>
        <v>0</v>
      </c>
      <c r="JG257" t="b">
        <f t="shared" si="30"/>
        <v>0</v>
      </c>
      <c r="JH257" t="b">
        <f t="shared" si="30"/>
        <v>0</v>
      </c>
      <c r="JI257" t="b">
        <f t="shared" si="30"/>
        <v>0</v>
      </c>
      <c r="JJ257" t="b">
        <f t="shared" si="30"/>
        <v>0</v>
      </c>
      <c r="JK257" t="b">
        <f t="shared" si="30"/>
        <v>0</v>
      </c>
      <c r="JL257" t="b">
        <f t="shared" si="30"/>
        <v>0</v>
      </c>
      <c r="JM257" t="b">
        <f t="shared" si="30"/>
        <v>0</v>
      </c>
      <c r="JN257" t="b">
        <f t="shared" si="30"/>
        <v>0</v>
      </c>
      <c r="JO257" t="b">
        <f t="shared" si="30"/>
        <v>0</v>
      </c>
      <c r="JP257" t="b">
        <f t="shared" si="30"/>
        <v>0</v>
      </c>
      <c r="JQ257" t="b">
        <f t="shared" si="30"/>
        <v>0</v>
      </c>
      <c r="JR257" t="b">
        <f t="shared" si="30"/>
        <v>0</v>
      </c>
      <c r="JS257" t="b">
        <f t="shared" si="30"/>
        <v>0</v>
      </c>
      <c r="JT257" t="b">
        <f t="shared" si="30"/>
        <v>0</v>
      </c>
      <c r="JU257" t="b">
        <f t="shared" ref="JU257:MF257" si="31">JV256&gt;=JU245</f>
        <v>0</v>
      </c>
      <c r="JV257" t="b">
        <f t="shared" si="31"/>
        <v>0</v>
      </c>
      <c r="JW257" t="b">
        <f t="shared" si="31"/>
        <v>0</v>
      </c>
      <c r="JX257" t="b">
        <f t="shared" si="31"/>
        <v>0</v>
      </c>
      <c r="JY257" t="b">
        <f t="shared" si="31"/>
        <v>0</v>
      </c>
      <c r="JZ257" t="b">
        <f t="shared" si="31"/>
        <v>0</v>
      </c>
      <c r="KA257" t="b">
        <f t="shared" si="31"/>
        <v>0</v>
      </c>
      <c r="KB257" t="b">
        <f t="shared" si="31"/>
        <v>0</v>
      </c>
      <c r="KC257" t="b">
        <f t="shared" si="31"/>
        <v>0</v>
      </c>
      <c r="KD257" t="b">
        <f t="shared" si="31"/>
        <v>0</v>
      </c>
      <c r="KE257" t="b">
        <f t="shared" si="31"/>
        <v>0</v>
      </c>
      <c r="KF257" t="b">
        <f t="shared" si="31"/>
        <v>0</v>
      </c>
      <c r="KG257" t="b">
        <f t="shared" si="31"/>
        <v>0</v>
      </c>
      <c r="KH257" t="b">
        <f t="shared" si="31"/>
        <v>0</v>
      </c>
      <c r="KI257" t="b">
        <f t="shared" si="31"/>
        <v>0</v>
      </c>
      <c r="KJ257" t="b">
        <f t="shared" si="31"/>
        <v>0</v>
      </c>
      <c r="KK257" t="b">
        <f t="shared" si="31"/>
        <v>0</v>
      </c>
      <c r="KL257" t="b">
        <f t="shared" si="31"/>
        <v>0</v>
      </c>
      <c r="KM257" t="b">
        <f t="shared" si="31"/>
        <v>0</v>
      </c>
      <c r="KN257" t="b">
        <f t="shared" si="31"/>
        <v>0</v>
      </c>
      <c r="KO257" t="b">
        <f t="shared" si="31"/>
        <v>0</v>
      </c>
      <c r="KP257" t="b">
        <f t="shared" si="31"/>
        <v>0</v>
      </c>
      <c r="KQ257" t="b">
        <f t="shared" si="31"/>
        <v>0</v>
      </c>
      <c r="KR257" t="b">
        <f t="shared" si="31"/>
        <v>0</v>
      </c>
      <c r="KS257" t="b">
        <f t="shared" si="31"/>
        <v>0</v>
      </c>
      <c r="KT257" t="b">
        <f t="shared" si="31"/>
        <v>0</v>
      </c>
      <c r="KU257" t="b">
        <f t="shared" si="31"/>
        <v>0</v>
      </c>
      <c r="KV257" t="b">
        <f t="shared" si="31"/>
        <v>0</v>
      </c>
      <c r="KW257" t="b">
        <f t="shared" si="31"/>
        <v>0</v>
      </c>
      <c r="KX257" t="b">
        <f t="shared" si="31"/>
        <v>0</v>
      </c>
      <c r="KY257" t="b">
        <f t="shared" si="31"/>
        <v>0</v>
      </c>
      <c r="KZ257" t="b">
        <f t="shared" si="31"/>
        <v>0</v>
      </c>
      <c r="LA257" t="b">
        <f t="shared" si="31"/>
        <v>0</v>
      </c>
      <c r="LB257" t="b">
        <f t="shared" si="31"/>
        <v>0</v>
      </c>
      <c r="LC257" t="b">
        <f t="shared" si="31"/>
        <v>0</v>
      </c>
      <c r="LD257" t="b">
        <f t="shared" si="31"/>
        <v>0</v>
      </c>
      <c r="LE257" t="b">
        <f t="shared" si="31"/>
        <v>0</v>
      </c>
      <c r="LF257" t="b">
        <f t="shared" si="31"/>
        <v>0</v>
      </c>
      <c r="LG257" t="b">
        <f t="shared" si="31"/>
        <v>0</v>
      </c>
      <c r="LH257" t="b">
        <f t="shared" si="31"/>
        <v>0</v>
      </c>
      <c r="LI257" t="b">
        <f t="shared" si="31"/>
        <v>0</v>
      </c>
      <c r="LJ257" t="b">
        <f t="shared" si="31"/>
        <v>0</v>
      </c>
      <c r="LK257" t="b">
        <f t="shared" si="31"/>
        <v>0</v>
      </c>
      <c r="LL257" t="b">
        <f t="shared" si="31"/>
        <v>0</v>
      </c>
      <c r="LM257" t="b">
        <f t="shared" si="31"/>
        <v>0</v>
      </c>
      <c r="LN257" t="b">
        <f t="shared" si="31"/>
        <v>0</v>
      </c>
      <c r="LO257" t="b">
        <f t="shared" si="31"/>
        <v>0</v>
      </c>
      <c r="LP257" t="b">
        <f t="shared" si="31"/>
        <v>0</v>
      </c>
      <c r="LQ257" t="b">
        <f t="shared" si="31"/>
        <v>0</v>
      </c>
      <c r="LR257" t="b">
        <f t="shared" si="31"/>
        <v>0</v>
      </c>
      <c r="LS257" t="b">
        <f t="shared" si="31"/>
        <v>0</v>
      </c>
      <c r="LT257" t="b">
        <f t="shared" si="31"/>
        <v>0</v>
      </c>
      <c r="LU257" t="b">
        <f t="shared" si="31"/>
        <v>0</v>
      </c>
      <c r="LV257" t="b">
        <f t="shared" si="31"/>
        <v>0</v>
      </c>
      <c r="LW257" t="b">
        <f t="shared" si="31"/>
        <v>0</v>
      </c>
      <c r="LX257" t="b">
        <f t="shared" si="31"/>
        <v>0</v>
      </c>
      <c r="LY257" t="b">
        <f t="shared" si="31"/>
        <v>0</v>
      </c>
      <c r="LZ257" t="b">
        <f t="shared" si="31"/>
        <v>0</v>
      </c>
      <c r="MA257" t="b">
        <f t="shared" si="31"/>
        <v>0</v>
      </c>
      <c r="MB257" t="b">
        <f t="shared" si="31"/>
        <v>0</v>
      </c>
      <c r="MC257" t="b">
        <f t="shared" si="31"/>
        <v>0</v>
      </c>
      <c r="MD257" t="b">
        <f t="shared" si="31"/>
        <v>0</v>
      </c>
      <c r="ME257" t="b">
        <f t="shared" si="31"/>
        <v>0</v>
      </c>
      <c r="MF257" t="b">
        <f t="shared" si="31"/>
        <v>0</v>
      </c>
      <c r="MG257" t="b">
        <f t="shared" ref="MG257:NB257" si="32">MH256&gt;=MG245</f>
        <v>0</v>
      </c>
      <c r="MH257" t="b">
        <f t="shared" si="32"/>
        <v>0</v>
      </c>
      <c r="MI257" t="b">
        <f t="shared" si="32"/>
        <v>0</v>
      </c>
      <c r="MJ257" t="b">
        <f t="shared" si="32"/>
        <v>0</v>
      </c>
      <c r="MK257" t="b">
        <f t="shared" si="32"/>
        <v>0</v>
      </c>
      <c r="ML257" t="b">
        <f t="shared" si="32"/>
        <v>0</v>
      </c>
      <c r="MM257" t="b">
        <f t="shared" si="32"/>
        <v>0</v>
      </c>
      <c r="MN257" t="b">
        <f t="shared" si="32"/>
        <v>0</v>
      </c>
      <c r="MO257" t="b">
        <f t="shared" si="32"/>
        <v>0</v>
      </c>
      <c r="MP257" t="b">
        <f t="shared" si="32"/>
        <v>0</v>
      </c>
      <c r="MQ257" t="b">
        <f t="shared" si="32"/>
        <v>0</v>
      </c>
      <c r="MR257" t="b">
        <f t="shared" si="32"/>
        <v>0</v>
      </c>
      <c r="MS257" t="b">
        <f t="shared" si="32"/>
        <v>0</v>
      </c>
      <c r="MT257" t="b">
        <f t="shared" si="32"/>
        <v>0</v>
      </c>
      <c r="MU257" t="b">
        <f t="shared" si="32"/>
        <v>0</v>
      </c>
      <c r="MV257" t="b">
        <f t="shared" si="32"/>
        <v>0</v>
      </c>
      <c r="MW257" t="b">
        <f t="shared" si="32"/>
        <v>0</v>
      </c>
      <c r="MX257" t="b">
        <f t="shared" si="32"/>
        <v>0</v>
      </c>
      <c r="MY257" t="b">
        <f t="shared" si="32"/>
        <v>0</v>
      </c>
      <c r="MZ257" t="b">
        <f t="shared" si="32"/>
        <v>0</v>
      </c>
      <c r="NA257" t="b">
        <f t="shared" si="32"/>
        <v>0</v>
      </c>
      <c r="NB257" t="b">
        <f t="shared" si="32"/>
        <v>0</v>
      </c>
    </row>
    <row r="258" spans="3:366" x14ac:dyDescent="0.35">
      <c r="C258" s="31"/>
      <c r="D258" s="31"/>
      <c r="E258" s="26"/>
      <c r="F258" s="34"/>
      <c r="J258" s="26"/>
      <c r="K258" s="25"/>
      <c r="L258" s="34"/>
      <c r="Q258" s="31"/>
      <c r="R258" s="31"/>
      <c r="S258" s="31"/>
    </row>
    <row r="259" spans="3:366" x14ac:dyDescent="0.35">
      <c r="C259" s="31"/>
      <c r="D259" s="31"/>
      <c r="E259" s="26"/>
      <c r="F259" s="34"/>
      <c r="J259" s="26"/>
      <c r="K259" s="25"/>
      <c r="L259" s="34"/>
    </row>
    <row r="260" spans="3:366" x14ac:dyDescent="0.35">
      <c r="C260" s="31"/>
      <c r="D260" s="31"/>
      <c r="E260" s="26"/>
      <c r="F260" s="34"/>
      <c r="J260" s="26"/>
      <c r="K260" s="25"/>
      <c r="L260" s="34"/>
    </row>
    <row r="261" spans="3:366" x14ac:dyDescent="0.35">
      <c r="C261" s="31"/>
      <c r="D261" s="31"/>
      <c r="E261" s="26"/>
      <c r="F261" s="34"/>
      <c r="J261" s="26"/>
      <c r="K261" s="25"/>
      <c r="L261" s="34"/>
    </row>
    <row r="262" spans="3:366" x14ac:dyDescent="0.35">
      <c r="C262" s="31"/>
      <c r="D262" s="31"/>
      <c r="E262" s="26"/>
      <c r="F262" s="34"/>
      <c r="H262" s="45"/>
      <c r="I262" s="46"/>
      <c r="J262" s="26"/>
      <c r="K262" s="25"/>
      <c r="L262" s="34"/>
    </row>
    <row r="263" spans="3:366" x14ac:dyDescent="0.35">
      <c r="C263" s="31"/>
      <c r="D263" s="31"/>
      <c r="E263" s="26"/>
      <c r="F263" s="34"/>
      <c r="J263" s="26"/>
      <c r="K263" s="25"/>
      <c r="L263" s="34"/>
    </row>
    <row r="264" spans="3:366" x14ac:dyDescent="0.35">
      <c r="C264" s="31"/>
      <c r="D264" s="31"/>
      <c r="E264" s="26"/>
      <c r="F264" s="34"/>
      <c r="I264" s="26"/>
      <c r="J264" s="26"/>
      <c r="K264" s="25"/>
      <c r="L264" s="34"/>
    </row>
    <row r="265" spans="3:366" x14ac:dyDescent="0.35">
      <c r="C265" s="31"/>
      <c r="D265" s="31"/>
      <c r="E265" s="26"/>
      <c r="F265" s="34"/>
      <c r="J265" s="26"/>
      <c r="K265" s="25"/>
      <c r="L265" s="34"/>
    </row>
    <row r="266" spans="3:366" x14ac:dyDescent="0.35">
      <c r="C266" s="31"/>
      <c r="D266" s="31"/>
      <c r="E266" s="26"/>
      <c r="F266" s="34"/>
      <c r="J266" s="26"/>
      <c r="K266" s="25"/>
      <c r="L266" s="34"/>
    </row>
    <row r="267" spans="3:366" x14ac:dyDescent="0.35">
      <c r="C267" s="31"/>
      <c r="D267" s="31"/>
      <c r="E267" s="26"/>
      <c r="F267" s="34"/>
      <c r="J267" s="26"/>
      <c r="K267" s="25"/>
      <c r="L267" s="34"/>
    </row>
    <row r="268" spans="3:366" x14ac:dyDescent="0.35">
      <c r="C268" s="31"/>
      <c r="D268" s="31"/>
      <c r="E268" s="26"/>
      <c r="F268" s="34"/>
      <c r="J268" s="26"/>
      <c r="K268" s="25"/>
      <c r="L268" s="34"/>
    </row>
    <row r="269" spans="3:366" x14ac:dyDescent="0.35">
      <c r="C269" s="31"/>
      <c r="D269" s="31"/>
      <c r="E269" s="26"/>
      <c r="F269" s="34"/>
      <c r="J269" s="26"/>
      <c r="K269" s="25"/>
      <c r="L269" s="34"/>
    </row>
    <row r="270" spans="3:366" x14ac:dyDescent="0.35">
      <c r="C270" s="31"/>
      <c r="D270" s="31"/>
      <c r="E270" s="26"/>
      <c r="F270" s="34"/>
      <c r="J270" s="26"/>
      <c r="K270" s="25"/>
      <c r="L270" s="34"/>
    </row>
    <row r="271" spans="3:366" x14ac:dyDescent="0.35">
      <c r="C271" s="31"/>
      <c r="D271" s="31"/>
      <c r="E271" s="26"/>
      <c r="F271" s="34"/>
      <c r="J271" s="26"/>
      <c r="K271" s="25"/>
      <c r="L271" s="34"/>
    </row>
    <row r="272" spans="3:366" x14ac:dyDescent="0.35">
      <c r="C272" s="31"/>
      <c r="D272" s="31"/>
      <c r="E272" s="26"/>
      <c r="F272" s="34"/>
      <c r="J272" s="26"/>
      <c r="K272" s="25"/>
      <c r="L272" s="34"/>
    </row>
    <row r="273" spans="3:12" x14ac:dyDescent="0.35">
      <c r="C273" s="31"/>
      <c r="D273" s="31"/>
      <c r="E273" s="26"/>
      <c r="F273" s="34"/>
      <c r="J273" s="26"/>
      <c r="K273" s="25"/>
      <c r="L273" s="34"/>
    </row>
    <row r="274" spans="3:12" x14ac:dyDescent="0.35">
      <c r="C274" s="31"/>
      <c r="D274" s="31"/>
      <c r="E274" s="26"/>
      <c r="F274" s="34"/>
      <c r="J274" s="26"/>
      <c r="K274" s="25"/>
      <c r="L274" s="34"/>
    </row>
    <row r="275" spans="3:12" x14ac:dyDescent="0.35">
      <c r="C275" s="31"/>
      <c r="D275" s="31"/>
      <c r="E275" s="26"/>
      <c r="F275" s="34"/>
      <c r="J275" s="26"/>
      <c r="K275" s="25"/>
      <c r="L275" s="34"/>
    </row>
    <row r="276" spans="3:12" x14ac:dyDescent="0.35">
      <c r="C276" s="31"/>
      <c r="D276" s="31"/>
      <c r="E276" s="26"/>
      <c r="F276" s="34"/>
      <c r="J276" s="26"/>
      <c r="K276" s="25"/>
      <c r="L276" s="34"/>
    </row>
    <row r="277" spans="3:12" x14ac:dyDescent="0.35">
      <c r="C277" s="31"/>
      <c r="D277" s="31"/>
      <c r="E277" s="26"/>
      <c r="F277" s="34"/>
      <c r="J277" s="26"/>
      <c r="K277" s="25"/>
      <c r="L277" s="34"/>
    </row>
    <row r="278" spans="3:12" x14ac:dyDescent="0.35">
      <c r="C278" s="31"/>
      <c r="D278" s="31"/>
      <c r="E278" s="26"/>
      <c r="F278" s="34"/>
      <c r="J278" s="26"/>
      <c r="K278" s="25"/>
      <c r="L278" s="34"/>
    </row>
    <row r="279" spans="3:12" x14ac:dyDescent="0.35">
      <c r="C279" s="31"/>
      <c r="D279" s="31"/>
      <c r="E279" s="26"/>
      <c r="F279" s="34"/>
      <c r="J279" s="26"/>
      <c r="K279" s="25"/>
      <c r="L279" s="34"/>
    </row>
    <row r="280" spans="3:12" x14ac:dyDescent="0.35">
      <c r="C280" s="31"/>
      <c r="D280" s="31"/>
      <c r="E280" s="26"/>
      <c r="F280" s="34"/>
      <c r="J280" s="26"/>
      <c r="K280" s="25"/>
      <c r="L280" s="34"/>
    </row>
    <row r="281" spans="3:12" x14ac:dyDescent="0.35">
      <c r="C281" s="31"/>
      <c r="D281" s="31"/>
      <c r="E281" s="26"/>
      <c r="F281" s="34"/>
      <c r="J281" s="26"/>
      <c r="K281" s="25"/>
      <c r="L281" s="34"/>
    </row>
    <row r="282" spans="3:12" x14ac:dyDescent="0.35">
      <c r="C282" s="31"/>
      <c r="D282" s="31"/>
      <c r="E282" s="26"/>
      <c r="F282" s="34"/>
      <c r="J282" s="26"/>
      <c r="K282" s="25"/>
      <c r="L282" s="34"/>
    </row>
    <row r="283" spans="3:12" x14ac:dyDescent="0.35">
      <c r="C283" s="31"/>
      <c r="D283" s="31"/>
      <c r="E283" s="26"/>
      <c r="F283" s="34"/>
      <c r="J283" s="26"/>
      <c r="K283" s="25"/>
      <c r="L283" s="34"/>
    </row>
    <row r="284" spans="3:12" x14ac:dyDescent="0.35">
      <c r="C284" s="31"/>
      <c r="D284" s="31"/>
      <c r="E284" s="26"/>
      <c r="F284" s="34"/>
      <c r="J284" s="26"/>
      <c r="K284" s="25"/>
      <c r="L284" s="34"/>
    </row>
    <row r="285" spans="3:12" x14ac:dyDescent="0.35">
      <c r="C285" s="31"/>
      <c r="D285" s="31"/>
      <c r="E285" s="26"/>
      <c r="F285" s="34"/>
      <c r="J285" s="26"/>
      <c r="K285" s="25"/>
      <c r="L285" s="34"/>
    </row>
    <row r="286" spans="3:12" x14ac:dyDescent="0.35">
      <c r="C286" s="31"/>
      <c r="D286" s="31"/>
      <c r="E286" s="26"/>
      <c r="F286" s="34"/>
      <c r="J286" s="26"/>
      <c r="K286" s="25"/>
      <c r="L286" s="34"/>
    </row>
    <row r="287" spans="3:12" x14ac:dyDescent="0.35">
      <c r="C287" s="31"/>
      <c r="D287" s="31"/>
      <c r="E287" s="26"/>
      <c r="F287" s="34"/>
      <c r="J287" s="26"/>
      <c r="K287" s="25"/>
      <c r="L287" s="34"/>
    </row>
    <row r="288" spans="3:12" x14ac:dyDescent="0.35">
      <c r="C288" s="31"/>
      <c r="D288" s="31"/>
      <c r="E288" s="26"/>
      <c r="F288" s="34"/>
      <c r="J288" s="26"/>
      <c r="K288" s="25"/>
      <c r="L288" s="34"/>
    </row>
    <row r="289" spans="3:12" x14ac:dyDescent="0.35">
      <c r="C289" s="31"/>
      <c r="D289" s="31"/>
      <c r="E289" s="26"/>
      <c r="F289" s="34"/>
      <c r="J289" s="26"/>
      <c r="K289" s="25"/>
      <c r="L289" s="34"/>
    </row>
    <row r="290" spans="3:12" x14ac:dyDescent="0.35">
      <c r="C290" s="31"/>
      <c r="D290" s="31"/>
      <c r="E290" s="26"/>
      <c r="F290" s="34"/>
      <c r="J290" s="26"/>
      <c r="K290" s="25"/>
      <c r="L290" s="34"/>
    </row>
    <row r="291" spans="3:12" x14ac:dyDescent="0.35">
      <c r="C291" s="31"/>
      <c r="D291" s="31"/>
      <c r="E291" s="26"/>
      <c r="F291" s="34"/>
      <c r="J291" s="26"/>
      <c r="K291" s="25"/>
      <c r="L291" s="34"/>
    </row>
    <row r="292" spans="3:12" x14ac:dyDescent="0.35">
      <c r="C292" s="31"/>
      <c r="D292" s="31"/>
      <c r="E292" s="26"/>
      <c r="F292" s="34"/>
      <c r="J292" s="26"/>
      <c r="K292" s="25"/>
      <c r="L292" s="34"/>
    </row>
    <row r="293" spans="3:12" x14ac:dyDescent="0.35">
      <c r="C293" s="31"/>
      <c r="D293" s="31"/>
      <c r="E293" s="26"/>
      <c r="F293" s="34"/>
      <c r="J293" s="26"/>
      <c r="K293" s="25"/>
      <c r="L293" s="34"/>
    </row>
    <row r="294" spans="3:12" x14ac:dyDescent="0.35">
      <c r="C294" s="31"/>
      <c r="D294" s="31"/>
      <c r="E294" s="26"/>
      <c r="F294" s="34"/>
      <c r="J294" s="26"/>
      <c r="K294" s="25"/>
      <c r="L294" s="34"/>
    </row>
    <row r="295" spans="3:12" x14ac:dyDescent="0.35">
      <c r="C295" s="31"/>
      <c r="D295" s="31"/>
      <c r="E295" s="26"/>
      <c r="F295" s="34"/>
      <c r="J295" s="26"/>
      <c r="K295" s="25"/>
      <c r="L295" s="34"/>
    </row>
    <row r="296" spans="3:12" x14ac:dyDescent="0.35">
      <c r="C296" s="31"/>
      <c r="D296" s="31"/>
      <c r="E296" s="26"/>
      <c r="F296" s="34"/>
      <c r="J296" s="26"/>
      <c r="K296" s="25"/>
      <c r="L296" s="34"/>
    </row>
    <row r="297" spans="3:12" x14ac:dyDescent="0.35">
      <c r="C297" s="31"/>
      <c r="D297" s="31"/>
      <c r="E297" s="26"/>
      <c r="F297" s="34"/>
      <c r="J297" s="26"/>
      <c r="K297" s="25"/>
      <c r="L297" s="34"/>
    </row>
    <row r="298" spans="3:12" x14ac:dyDescent="0.35">
      <c r="C298" s="31"/>
      <c r="D298" s="31"/>
      <c r="E298" s="26"/>
      <c r="F298" s="34"/>
      <c r="J298" s="26"/>
      <c r="K298" s="25"/>
      <c r="L298" s="34"/>
    </row>
    <row r="299" spans="3:12" x14ac:dyDescent="0.35">
      <c r="C299" s="31"/>
      <c r="D299" s="31"/>
      <c r="E299" s="26"/>
      <c r="F299" s="34"/>
      <c r="J299" s="26"/>
      <c r="K299" s="25"/>
      <c r="L299" s="34"/>
    </row>
    <row r="300" spans="3:12" x14ac:dyDescent="0.35">
      <c r="C300" s="31"/>
      <c r="D300" s="31"/>
      <c r="E300" s="26"/>
      <c r="F300" s="34"/>
      <c r="J300" s="26"/>
      <c r="K300" s="25"/>
      <c r="L300" s="34"/>
    </row>
    <row r="301" spans="3:12" x14ac:dyDescent="0.35">
      <c r="C301" s="31"/>
      <c r="D301" s="31"/>
      <c r="E301" s="26"/>
      <c r="F301" s="34"/>
      <c r="J301" s="26"/>
      <c r="K301" s="25"/>
      <c r="L301" s="34"/>
    </row>
    <row r="302" spans="3:12" x14ac:dyDescent="0.35">
      <c r="C302" s="31"/>
      <c r="D302" s="31"/>
      <c r="E302" s="26"/>
      <c r="F302" s="34"/>
      <c r="J302" s="26"/>
      <c r="K302" s="25"/>
      <c r="L302" s="34"/>
    </row>
    <row r="303" spans="3:12" x14ac:dyDescent="0.35">
      <c r="C303" s="31"/>
      <c r="D303" s="31"/>
      <c r="E303" s="26"/>
      <c r="F303" s="34"/>
      <c r="J303" s="26"/>
      <c r="K303" s="25"/>
      <c r="L303" s="34"/>
    </row>
    <row r="304" spans="3:12" x14ac:dyDescent="0.35">
      <c r="C304" s="31"/>
      <c r="D304" s="31"/>
      <c r="E304" s="26"/>
      <c r="F304" s="34"/>
      <c r="J304" s="26"/>
      <c r="K304" s="25"/>
      <c r="L304" s="34"/>
    </row>
    <row r="305" spans="3:12" x14ac:dyDescent="0.35">
      <c r="C305" s="31"/>
      <c r="D305" s="31"/>
      <c r="E305" s="26"/>
      <c r="F305" s="34"/>
      <c r="J305" s="26"/>
      <c r="K305" s="25"/>
      <c r="L305" s="34"/>
    </row>
    <row r="306" spans="3:12" x14ac:dyDescent="0.35">
      <c r="C306" s="31"/>
      <c r="D306" s="31"/>
      <c r="E306" s="26"/>
      <c r="F306" s="34"/>
      <c r="J306" s="26"/>
      <c r="K306" s="25"/>
      <c r="L306" s="34"/>
    </row>
    <row r="307" spans="3:12" x14ac:dyDescent="0.35">
      <c r="C307" s="31"/>
      <c r="D307" s="31"/>
      <c r="E307" s="26"/>
      <c r="F307" s="34"/>
      <c r="J307" s="26"/>
      <c r="K307" s="25"/>
      <c r="L307" s="34"/>
    </row>
    <row r="308" spans="3:12" x14ac:dyDescent="0.35">
      <c r="C308" s="31"/>
      <c r="D308" s="31"/>
      <c r="E308" s="26"/>
      <c r="F308" s="34"/>
      <c r="J308" s="26"/>
      <c r="K308" s="25"/>
      <c r="L308" s="34"/>
    </row>
    <row r="309" spans="3:12" x14ac:dyDescent="0.35">
      <c r="C309" s="31"/>
      <c r="D309" s="31"/>
      <c r="E309" s="26"/>
      <c r="F309" s="34"/>
      <c r="J309" s="26"/>
      <c r="K309" s="25"/>
      <c r="L309" s="34"/>
    </row>
    <row r="310" spans="3:12" x14ac:dyDescent="0.35">
      <c r="C310" s="31"/>
      <c r="D310" s="31"/>
      <c r="E310" s="26"/>
      <c r="F310" s="34"/>
      <c r="J310" s="26"/>
      <c r="K310" s="25"/>
      <c r="L310" s="34"/>
    </row>
    <row r="311" spans="3:12" x14ac:dyDescent="0.35">
      <c r="C311" s="31"/>
      <c r="D311" s="31"/>
      <c r="E311" s="26"/>
      <c r="F311" s="34"/>
      <c r="J311" s="26"/>
      <c r="K311" s="25"/>
      <c r="L311" s="34"/>
    </row>
    <row r="312" spans="3:12" x14ac:dyDescent="0.35">
      <c r="C312" s="31"/>
      <c r="D312" s="31"/>
      <c r="E312" s="26"/>
      <c r="F312" s="34"/>
      <c r="J312" s="26"/>
      <c r="K312" s="25"/>
      <c r="L312" s="34"/>
    </row>
    <row r="313" spans="3:12" x14ac:dyDescent="0.35">
      <c r="C313" s="31"/>
      <c r="D313" s="31"/>
      <c r="E313" s="26"/>
      <c r="F313" s="34"/>
      <c r="J313" s="26"/>
      <c r="K313" s="25"/>
      <c r="L313" s="34"/>
    </row>
    <row r="314" spans="3:12" x14ac:dyDescent="0.35">
      <c r="C314" s="31"/>
      <c r="D314" s="31"/>
      <c r="E314" s="26"/>
      <c r="F314" s="34"/>
      <c r="J314" s="26"/>
      <c r="K314" s="25"/>
      <c r="L314" s="34"/>
    </row>
    <row r="315" spans="3:12" x14ac:dyDescent="0.35">
      <c r="C315" s="31"/>
      <c r="D315" s="31"/>
      <c r="E315" s="26"/>
      <c r="F315" s="34"/>
      <c r="J315" s="26"/>
      <c r="K315" s="25"/>
      <c r="L315" s="34"/>
    </row>
    <row r="316" spans="3:12" x14ac:dyDescent="0.35">
      <c r="C316" s="31"/>
      <c r="D316" s="31"/>
      <c r="E316" s="26"/>
      <c r="F316" s="34"/>
      <c r="J316" s="26"/>
      <c r="K316" s="25"/>
      <c r="L316" s="34"/>
    </row>
    <row r="317" spans="3:12" x14ac:dyDescent="0.35">
      <c r="C317" s="31"/>
      <c r="D317" s="31"/>
      <c r="E317" s="26"/>
      <c r="F317" s="34"/>
      <c r="J317" s="26"/>
      <c r="K317" s="25"/>
      <c r="L317" s="34"/>
    </row>
    <row r="318" spans="3:12" x14ac:dyDescent="0.35">
      <c r="C318" s="31"/>
      <c r="D318" s="31"/>
      <c r="E318" s="26"/>
      <c r="F318" s="34"/>
      <c r="J318" s="26"/>
      <c r="K318" s="25"/>
      <c r="L318" s="34"/>
    </row>
    <row r="319" spans="3:12" x14ac:dyDescent="0.35">
      <c r="C319" s="31"/>
      <c r="D319" s="31"/>
      <c r="E319" s="26"/>
      <c r="F319" s="34"/>
      <c r="J319" s="26"/>
      <c r="K319" s="25"/>
      <c r="L319" s="34"/>
    </row>
    <row r="320" spans="3:12" x14ac:dyDescent="0.35">
      <c r="C320" s="31"/>
      <c r="D320" s="31"/>
      <c r="E320" s="26"/>
      <c r="F320" s="34"/>
      <c r="J320" s="26"/>
      <c r="K320" s="25"/>
      <c r="L320" s="34"/>
    </row>
    <row r="321" spans="3:12" x14ac:dyDescent="0.35">
      <c r="C321" s="31"/>
      <c r="D321" s="31"/>
      <c r="E321" s="26"/>
      <c r="F321" s="34"/>
      <c r="J321" s="26"/>
      <c r="K321" s="25"/>
      <c r="L321" s="34"/>
    </row>
    <row r="322" spans="3:12" x14ac:dyDescent="0.35">
      <c r="C322" s="31"/>
      <c r="D322" s="31"/>
      <c r="E322" s="26"/>
      <c r="F322" s="34"/>
      <c r="J322" s="26"/>
      <c r="K322" s="25"/>
      <c r="L322" s="34"/>
    </row>
    <row r="323" spans="3:12" x14ac:dyDescent="0.35">
      <c r="C323" s="31"/>
      <c r="D323" s="31"/>
      <c r="E323" s="26"/>
      <c r="F323" s="34"/>
      <c r="J323" s="26"/>
      <c r="K323" s="25"/>
      <c r="L323" s="34"/>
    </row>
    <row r="324" spans="3:12" x14ac:dyDescent="0.35">
      <c r="C324" s="31"/>
      <c r="D324" s="31"/>
      <c r="E324" s="26"/>
      <c r="F324" s="34"/>
      <c r="J324" s="26"/>
      <c r="K324" s="25"/>
      <c r="L324" s="34"/>
    </row>
    <row r="325" spans="3:12" x14ac:dyDescent="0.35">
      <c r="C325" s="31"/>
      <c r="D325" s="31"/>
      <c r="E325" s="26"/>
      <c r="F325" s="34"/>
      <c r="J325" s="26"/>
      <c r="K325" s="25"/>
      <c r="L325" s="34"/>
    </row>
    <row r="326" spans="3:12" x14ac:dyDescent="0.35">
      <c r="C326" s="31"/>
      <c r="D326" s="31"/>
      <c r="E326" s="26"/>
      <c r="F326" s="34"/>
      <c r="J326" s="26"/>
      <c r="K326" s="25"/>
      <c r="L326" s="34"/>
    </row>
    <row r="327" spans="3:12" x14ac:dyDescent="0.35">
      <c r="C327" s="31"/>
      <c r="D327" s="31"/>
      <c r="E327" s="26"/>
      <c r="F327" s="34"/>
      <c r="J327" s="26"/>
      <c r="K327" s="25"/>
      <c r="L327" s="34"/>
    </row>
    <row r="328" spans="3:12" x14ac:dyDescent="0.35">
      <c r="C328" s="31"/>
      <c r="D328" s="31"/>
      <c r="E328" s="26"/>
      <c r="F328" s="34"/>
      <c r="J328" s="26"/>
      <c r="K328" s="25"/>
      <c r="L328" s="34"/>
    </row>
    <row r="329" spans="3:12" x14ac:dyDescent="0.35">
      <c r="C329" s="31"/>
      <c r="D329" s="31"/>
      <c r="E329" s="26"/>
      <c r="F329" s="34"/>
      <c r="J329" s="26"/>
      <c r="K329" s="25"/>
      <c r="L329" s="34"/>
    </row>
    <row r="330" spans="3:12" x14ac:dyDescent="0.35">
      <c r="C330" s="31"/>
      <c r="D330" s="31"/>
      <c r="E330" s="26"/>
      <c r="F330" s="34"/>
      <c r="J330" s="26"/>
      <c r="K330" s="25"/>
      <c r="L330" s="34"/>
    </row>
    <row r="331" spans="3:12" x14ac:dyDescent="0.35">
      <c r="C331" s="31"/>
      <c r="D331" s="31"/>
      <c r="E331" s="26"/>
      <c r="F331" s="34"/>
      <c r="J331" s="26"/>
      <c r="K331" s="25"/>
      <c r="L331" s="34"/>
    </row>
    <row r="332" spans="3:12" x14ac:dyDescent="0.35">
      <c r="C332" s="31"/>
      <c r="D332" s="31"/>
      <c r="E332" s="26"/>
      <c r="F332" s="34"/>
      <c r="J332" s="26"/>
      <c r="K332" s="25"/>
      <c r="L332" s="34"/>
    </row>
    <row r="333" spans="3:12" x14ac:dyDescent="0.35">
      <c r="C333" s="31"/>
      <c r="D333" s="31"/>
      <c r="E333" s="26"/>
      <c r="F333" s="34"/>
      <c r="J333" s="26"/>
      <c r="K333" s="25"/>
      <c r="L333" s="34"/>
    </row>
    <row r="334" spans="3:12" x14ac:dyDescent="0.35">
      <c r="C334" s="31"/>
      <c r="D334" s="31"/>
      <c r="E334" s="26"/>
      <c r="F334" s="34"/>
      <c r="J334" s="26"/>
      <c r="K334" s="25"/>
      <c r="L334" s="34"/>
    </row>
    <row r="335" spans="3:12" x14ac:dyDescent="0.35">
      <c r="C335" s="31"/>
      <c r="D335" s="31"/>
      <c r="E335" s="26"/>
      <c r="F335" s="34"/>
      <c r="J335" s="26"/>
      <c r="K335" s="25"/>
      <c r="L335" s="34"/>
    </row>
    <row r="336" spans="3:12" x14ac:dyDescent="0.35">
      <c r="C336" s="31"/>
      <c r="D336" s="31"/>
      <c r="E336" s="26"/>
      <c r="F336" s="34"/>
      <c r="J336" s="26"/>
      <c r="K336" s="25"/>
      <c r="L336" s="34"/>
    </row>
    <row r="337" spans="3:12" x14ac:dyDescent="0.35">
      <c r="C337" s="31"/>
      <c r="D337" s="31"/>
      <c r="E337" s="26"/>
      <c r="F337" s="34"/>
      <c r="J337" s="26"/>
      <c r="K337" s="25"/>
      <c r="L337" s="34"/>
    </row>
    <row r="338" spans="3:12" x14ac:dyDescent="0.35">
      <c r="C338" s="31"/>
      <c r="D338" s="31"/>
      <c r="E338" s="26"/>
      <c r="F338" s="34"/>
      <c r="J338" s="26"/>
      <c r="K338" s="25"/>
      <c r="L338" s="34"/>
    </row>
    <row r="339" spans="3:12" x14ac:dyDescent="0.35">
      <c r="C339" s="31"/>
      <c r="D339" s="31"/>
      <c r="E339" s="26"/>
      <c r="F339" s="34"/>
      <c r="J339" s="26"/>
      <c r="K339" s="25"/>
      <c r="L339" s="34"/>
    </row>
    <row r="340" spans="3:12" x14ac:dyDescent="0.35">
      <c r="C340" s="31"/>
      <c r="D340" s="31"/>
      <c r="E340" s="26"/>
      <c r="F340" s="34"/>
      <c r="J340" s="26"/>
      <c r="K340" s="25"/>
      <c r="L340" s="34"/>
    </row>
    <row r="341" spans="3:12" x14ac:dyDescent="0.35">
      <c r="C341" s="31"/>
      <c r="D341" s="31"/>
      <c r="E341" s="26"/>
      <c r="F341" s="34"/>
      <c r="J341" s="26"/>
      <c r="K341" s="25"/>
      <c r="L341" s="34"/>
    </row>
    <row r="342" spans="3:12" x14ac:dyDescent="0.35">
      <c r="C342" s="31"/>
      <c r="D342" s="31"/>
      <c r="E342" s="26"/>
      <c r="F342" s="34"/>
      <c r="J342" s="26"/>
      <c r="K342" s="25"/>
      <c r="L342" s="34"/>
    </row>
    <row r="343" spans="3:12" x14ac:dyDescent="0.35">
      <c r="C343" s="31"/>
      <c r="D343" s="31"/>
      <c r="E343" s="26"/>
      <c r="F343" s="34"/>
      <c r="J343" s="26"/>
      <c r="K343" s="25"/>
      <c r="L343" s="34"/>
    </row>
    <row r="344" spans="3:12" x14ac:dyDescent="0.35">
      <c r="C344" s="31"/>
      <c r="D344" s="31"/>
      <c r="E344" s="26"/>
      <c r="F344" s="34"/>
      <c r="J344" s="26"/>
      <c r="K344" s="25"/>
      <c r="L344" s="34"/>
    </row>
    <row r="345" spans="3:12" x14ac:dyDescent="0.35">
      <c r="C345" s="31"/>
      <c r="D345" s="31"/>
      <c r="E345" s="26"/>
      <c r="F345" s="34"/>
      <c r="J345" s="26"/>
      <c r="K345" s="25"/>
      <c r="L345" s="34"/>
    </row>
    <row r="346" spans="3:12" x14ac:dyDescent="0.35">
      <c r="C346" s="31"/>
      <c r="D346" s="31"/>
      <c r="E346" s="26"/>
      <c r="F346" s="34"/>
      <c r="J346" s="26"/>
      <c r="K346" s="25"/>
      <c r="L346" s="34"/>
    </row>
    <row r="347" spans="3:12" x14ac:dyDescent="0.35">
      <c r="C347" s="31"/>
      <c r="D347" s="31"/>
      <c r="E347" s="26"/>
      <c r="F347" s="34"/>
      <c r="J347" s="26"/>
      <c r="K347" s="25"/>
      <c r="L347" s="34"/>
    </row>
    <row r="348" spans="3:12" x14ac:dyDescent="0.35">
      <c r="C348" s="31"/>
      <c r="D348" s="31"/>
      <c r="E348" s="26"/>
      <c r="F348" s="34"/>
      <c r="J348" s="26"/>
      <c r="K348" s="25"/>
      <c r="L348" s="34"/>
    </row>
    <row r="349" spans="3:12" x14ac:dyDescent="0.35">
      <c r="C349" s="31"/>
      <c r="D349" s="31"/>
      <c r="E349" s="26"/>
      <c r="F349" s="34"/>
      <c r="J349" s="26"/>
      <c r="K349" s="25"/>
      <c r="L349" s="34"/>
    </row>
    <row r="350" spans="3:12" x14ac:dyDescent="0.35">
      <c r="C350" s="31"/>
      <c r="D350" s="31"/>
      <c r="E350" s="26"/>
      <c r="F350" s="34"/>
      <c r="J350" s="26"/>
      <c r="K350" s="25"/>
      <c r="L350" s="34"/>
    </row>
    <row r="351" spans="3:12" x14ac:dyDescent="0.35">
      <c r="C351" s="31"/>
      <c r="D351" s="31"/>
      <c r="E351" s="26"/>
      <c r="F351" s="34"/>
      <c r="J351" s="26"/>
      <c r="K351" s="25"/>
      <c r="L351" s="34"/>
    </row>
    <row r="352" spans="3:12" x14ac:dyDescent="0.35">
      <c r="C352" s="31"/>
      <c r="D352" s="31"/>
      <c r="E352" s="26"/>
      <c r="F352" s="34"/>
      <c r="J352" s="26"/>
      <c r="K352" s="25"/>
      <c r="L352" s="34"/>
    </row>
    <row r="353" spans="3:12" x14ac:dyDescent="0.35">
      <c r="C353" s="31"/>
      <c r="D353" s="31"/>
      <c r="E353" s="26"/>
      <c r="F353" s="34"/>
      <c r="J353" s="26"/>
      <c r="K353" s="25"/>
      <c r="L353" s="34"/>
    </row>
    <row r="354" spans="3:12" x14ac:dyDescent="0.35">
      <c r="C354" s="31"/>
      <c r="D354" s="31"/>
      <c r="E354" s="26"/>
      <c r="F354" s="34"/>
      <c r="J354" s="26"/>
      <c r="K354" s="25"/>
      <c r="L354" s="34"/>
    </row>
    <row r="355" spans="3:12" x14ac:dyDescent="0.35">
      <c r="C355" s="31"/>
      <c r="D355" s="31"/>
      <c r="E355" s="26"/>
      <c r="F355" s="34"/>
      <c r="J355" s="26"/>
      <c r="K355" s="25"/>
      <c r="L355" s="34"/>
    </row>
    <row r="356" spans="3:12" x14ac:dyDescent="0.35">
      <c r="C356" s="31"/>
      <c r="D356" s="31"/>
      <c r="E356" s="26"/>
      <c r="F356" s="34"/>
      <c r="J356" s="26"/>
      <c r="K356" s="25"/>
      <c r="L356" s="34"/>
    </row>
    <row r="357" spans="3:12" x14ac:dyDescent="0.35">
      <c r="C357" s="31"/>
      <c r="D357" s="31"/>
      <c r="E357" s="26"/>
      <c r="F357" s="34"/>
      <c r="J357" s="26"/>
      <c r="K357" s="25"/>
      <c r="L357" s="34"/>
    </row>
    <row r="358" spans="3:12" x14ac:dyDescent="0.35">
      <c r="C358" s="31"/>
      <c r="D358" s="31"/>
      <c r="E358" s="26"/>
      <c r="F358" s="34"/>
      <c r="J358" s="26"/>
      <c r="K358" s="25"/>
      <c r="L358" s="34"/>
    </row>
    <row r="359" spans="3:12" x14ac:dyDescent="0.35">
      <c r="C359" s="31"/>
      <c r="D359" s="31"/>
      <c r="E359" s="26"/>
      <c r="F359" s="34"/>
      <c r="J359" s="26"/>
      <c r="K359" s="25"/>
      <c r="L359" s="34"/>
    </row>
    <row r="360" spans="3:12" x14ac:dyDescent="0.35">
      <c r="C360" s="31"/>
      <c r="D360" s="31"/>
      <c r="E360" s="26"/>
      <c r="F360" s="34"/>
      <c r="J360" s="26"/>
      <c r="K360" s="25"/>
      <c r="L360" s="34"/>
    </row>
    <row r="361" spans="3:12" x14ac:dyDescent="0.35">
      <c r="C361" s="31"/>
      <c r="D361" s="31"/>
      <c r="E361" s="26"/>
      <c r="F361" s="34"/>
      <c r="J361" s="26"/>
      <c r="K361" s="25"/>
      <c r="L361" s="34"/>
    </row>
    <row r="362" spans="3:12" x14ac:dyDescent="0.35">
      <c r="C362" s="31"/>
      <c r="D362" s="31"/>
      <c r="E362" s="26"/>
      <c r="F362" s="34"/>
      <c r="J362" s="26"/>
      <c r="K362" s="25"/>
      <c r="L362" s="34"/>
    </row>
    <row r="363" spans="3:12" x14ac:dyDescent="0.35">
      <c r="C363" s="31"/>
      <c r="D363" s="31"/>
      <c r="E363" s="26"/>
      <c r="F363" s="34"/>
      <c r="J363" s="26"/>
      <c r="K363" s="25"/>
      <c r="L363" s="34"/>
    </row>
    <row r="364" spans="3:12" x14ac:dyDescent="0.35">
      <c r="C364" s="31"/>
      <c r="D364" s="31"/>
      <c r="E364" s="26"/>
      <c r="F364" s="34"/>
      <c r="J364" s="26"/>
      <c r="K364" s="25"/>
      <c r="L364" s="34"/>
    </row>
    <row r="365" spans="3:12" x14ac:dyDescent="0.35">
      <c r="C365" s="31"/>
      <c r="D365" s="31"/>
      <c r="E365" s="26"/>
      <c r="F365" s="34"/>
      <c r="J365" s="26"/>
      <c r="K365" s="25"/>
      <c r="L365" s="34"/>
    </row>
    <row r="366" spans="3:12" x14ac:dyDescent="0.35">
      <c r="C366" s="31"/>
      <c r="D366" s="31"/>
      <c r="E366" s="26"/>
      <c r="F366" s="34"/>
      <c r="J366" s="26"/>
      <c r="K366" s="25"/>
      <c r="L366" s="34"/>
    </row>
    <row r="367" spans="3:12" x14ac:dyDescent="0.35">
      <c r="C367" s="31"/>
      <c r="D367" s="31"/>
      <c r="E367" s="26"/>
      <c r="F367" s="34"/>
      <c r="J367" s="26"/>
      <c r="K367" s="25"/>
      <c r="L367" s="34"/>
    </row>
    <row r="368" spans="3:12" x14ac:dyDescent="0.35">
      <c r="C368" s="31"/>
      <c r="D368" s="31"/>
      <c r="E368" s="26"/>
      <c r="F368" s="34"/>
      <c r="J368" s="26"/>
      <c r="K368" s="25"/>
      <c r="L368" s="34"/>
    </row>
    <row r="369" spans="3:12" x14ac:dyDescent="0.35">
      <c r="C369" s="31"/>
      <c r="D369" s="31"/>
      <c r="E369" s="26"/>
      <c r="F369" s="34"/>
      <c r="J369" s="26"/>
      <c r="K369" s="25"/>
      <c r="L369" s="34"/>
    </row>
    <row r="370" spans="3:12" x14ac:dyDescent="0.35">
      <c r="C370" s="31"/>
      <c r="D370" s="31"/>
      <c r="E370" s="26"/>
      <c r="F370" s="34"/>
      <c r="J370" s="26"/>
      <c r="K370" s="25"/>
      <c r="L370" s="34"/>
    </row>
    <row r="371" spans="3:12" x14ac:dyDescent="0.35">
      <c r="C371" s="31"/>
      <c r="D371" s="31"/>
      <c r="E371" s="26"/>
      <c r="F371" s="34"/>
      <c r="J371" s="26"/>
      <c r="K371" s="25"/>
      <c r="L371" s="34"/>
    </row>
    <row r="372" spans="3:12" x14ac:dyDescent="0.35">
      <c r="C372" s="31"/>
      <c r="D372" s="31"/>
      <c r="E372" s="26"/>
      <c r="F372" s="34"/>
      <c r="J372" s="26"/>
      <c r="K372" s="25"/>
      <c r="L372" s="34"/>
    </row>
    <row r="373" spans="3:12" x14ac:dyDescent="0.35">
      <c r="C373" s="31"/>
      <c r="D373" s="31"/>
      <c r="E373" s="26"/>
      <c r="F373" s="34"/>
      <c r="J373" s="26"/>
      <c r="K373" s="25"/>
      <c r="L373" s="34"/>
    </row>
    <row r="374" spans="3:12" x14ac:dyDescent="0.35">
      <c r="C374" s="31"/>
      <c r="D374" s="31"/>
      <c r="E374" s="26"/>
      <c r="F374" s="34"/>
      <c r="J374" s="26"/>
      <c r="K374" s="25"/>
      <c r="L374" s="34"/>
    </row>
    <row r="375" spans="3:12" x14ac:dyDescent="0.35">
      <c r="C375" s="31"/>
      <c r="D375" s="31"/>
      <c r="E375" s="26"/>
      <c r="F375" s="34"/>
      <c r="J375" s="26"/>
      <c r="K375" s="25"/>
      <c r="L375" s="34"/>
    </row>
    <row r="376" spans="3:12" x14ac:dyDescent="0.35">
      <c r="C376" s="31"/>
      <c r="D376" s="31"/>
      <c r="E376" s="26"/>
      <c r="F376" s="34"/>
      <c r="J376" s="26"/>
      <c r="K376" s="25"/>
      <c r="L376" s="34"/>
    </row>
    <row r="377" spans="3:12" x14ac:dyDescent="0.35">
      <c r="C377" s="31"/>
      <c r="D377" s="31"/>
      <c r="E377" s="26"/>
      <c r="F377" s="34"/>
      <c r="J377" s="26"/>
      <c r="K377" s="25"/>
      <c r="L377" s="34"/>
    </row>
    <row r="378" spans="3:12" x14ac:dyDescent="0.35">
      <c r="C378" s="31"/>
      <c r="D378" s="31"/>
      <c r="E378" s="26"/>
      <c r="F378" s="34"/>
      <c r="J378" s="26"/>
      <c r="K378" s="25"/>
      <c r="L378" s="34"/>
    </row>
    <row r="379" spans="3:12" x14ac:dyDescent="0.35">
      <c r="C379" s="31"/>
      <c r="D379" s="31"/>
      <c r="E379" s="26"/>
      <c r="F379" s="34"/>
      <c r="J379" s="26"/>
      <c r="K379" s="25"/>
      <c r="L379" s="34"/>
    </row>
    <row r="380" spans="3:12" x14ac:dyDescent="0.35">
      <c r="C380" s="31"/>
      <c r="D380" s="31"/>
      <c r="E380" s="26"/>
      <c r="F380" s="34"/>
      <c r="J380" s="26"/>
      <c r="K380" s="25"/>
      <c r="L380" s="34"/>
    </row>
    <row r="381" spans="3:12" x14ac:dyDescent="0.35">
      <c r="C381" s="31"/>
      <c r="D381" s="31"/>
      <c r="E381" s="26"/>
      <c r="F381" s="34"/>
      <c r="J381" s="26"/>
      <c r="K381" s="25"/>
      <c r="L381" s="34"/>
    </row>
    <row r="382" spans="3:12" x14ac:dyDescent="0.35">
      <c r="C382" s="31"/>
      <c r="D382" s="31"/>
      <c r="E382" s="26"/>
      <c r="F382" s="34"/>
      <c r="J382" s="26"/>
      <c r="K382" s="25"/>
      <c r="L382" s="34"/>
    </row>
    <row r="383" spans="3:12" x14ac:dyDescent="0.35">
      <c r="C383" s="31"/>
      <c r="D383" s="31"/>
      <c r="E383" s="26"/>
      <c r="F383" s="34"/>
      <c r="J383" s="26"/>
      <c r="K383" s="25"/>
      <c r="L383" s="34"/>
    </row>
    <row r="384" spans="3:12" x14ac:dyDescent="0.35">
      <c r="C384" s="31"/>
      <c r="D384" s="31"/>
      <c r="E384" s="26"/>
      <c r="F384" s="34"/>
      <c r="J384" s="26"/>
      <c r="K384" s="25"/>
      <c r="L384" s="34"/>
    </row>
    <row r="385" spans="3:12" x14ac:dyDescent="0.35">
      <c r="C385" s="31"/>
      <c r="D385" s="31"/>
      <c r="E385" s="26"/>
      <c r="F385" s="34"/>
      <c r="J385" s="26"/>
      <c r="K385" s="25"/>
      <c r="L385" s="34"/>
    </row>
    <row r="386" spans="3:12" x14ac:dyDescent="0.35">
      <c r="C386" s="31"/>
      <c r="D386" s="31"/>
      <c r="E386" s="26"/>
      <c r="F386" s="34"/>
      <c r="J386" s="26"/>
      <c r="K386" s="25"/>
      <c r="L386" s="34"/>
    </row>
    <row r="387" spans="3:12" x14ac:dyDescent="0.35">
      <c r="C387" s="31"/>
      <c r="D387" s="31"/>
      <c r="E387" s="26"/>
      <c r="F387" s="34"/>
      <c r="J387" s="26"/>
      <c r="K387" s="25"/>
      <c r="L387" s="34"/>
    </row>
    <row r="388" spans="3:12" x14ac:dyDescent="0.35">
      <c r="C388" s="31"/>
      <c r="D388" s="31"/>
      <c r="E388" s="26"/>
      <c r="F388" s="34"/>
      <c r="J388" s="26"/>
      <c r="K388" s="25"/>
      <c r="L388" s="34"/>
    </row>
    <row r="389" spans="3:12" x14ac:dyDescent="0.35">
      <c r="C389" s="31"/>
      <c r="D389" s="31"/>
      <c r="E389" s="26"/>
      <c r="F389" s="34"/>
      <c r="J389" s="26"/>
      <c r="K389" s="25"/>
      <c r="L389" s="34"/>
    </row>
    <row r="390" spans="3:12" x14ac:dyDescent="0.35">
      <c r="C390" s="31"/>
      <c r="D390" s="31"/>
      <c r="E390" s="26"/>
      <c r="F390" s="34"/>
      <c r="J390" s="26"/>
      <c r="K390" s="25"/>
      <c r="L390" s="34"/>
    </row>
    <row r="391" spans="3:12" x14ac:dyDescent="0.35">
      <c r="C391" s="31"/>
      <c r="D391" s="31"/>
      <c r="E391" s="26"/>
      <c r="F391" s="34"/>
      <c r="J391" s="26"/>
      <c r="K391" s="25"/>
      <c r="L391" s="34"/>
    </row>
    <row r="392" spans="3:12" x14ac:dyDescent="0.35">
      <c r="C392" s="31"/>
      <c r="D392" s="31"/>
      <c r="E392" s="26"/>
      <c r="F392" s="34"/>
      <c r="J392" s="26"/>
      <c r="K392" s="25"/>
      <c r="L392" s="34"/>
    </row>
    <row r="393" spans="3:12" x14ac:dyDescent="0.35">
      <c r="C393" s="31"/>
      <c r="D393" s="31"/>
      <c r="E393" s="26"/>
      <c r="F393" s="34"/>
      <c r="J393" s="26"/>
      <c r="K393" s="25"/>
      <c r="L393" s="34"/>
    </row>
    <row r="394" spans="3:12" x14ac:dyDescent="0.35">
      <c r="C394" s="31"/>
      <c r="D394" s="31"/>
      <c r="E394" s="26"/>
      <c r="F394" s="34"/>
      <c r="J394" s="26"/>
      <c r="K394" s="25"/>
      <c r="L394" s="34"/>
    </row>
    <row r="395" spans="3:12" x14ac:dyDescent="0.35">
      <c r="C395" s="31"/>
      <c r="D395" s="31"/>
      <c r="E395" s="26"/>
      <c r="F395" s="34"/>
      <c r="J395" s="26"/>
      <c r="K395" s="25"/>
      <c r="L395" s="34"/>
    </row>
    <row r="396" spans="3:12" x14ac:dyDescent="0.35">
      <c r="C396" s="31"/>
      <c r="D396" s="31"/>
      <c r="E396" s="26"/>
      <c r="F396" s="34"/>
      <c r="J396" s="26"/>
      <c r="K396" s="25"/>
      <c r="L396" s="34"/>
    </row>
    <row r="397" spans="3:12" x14ac:dyDescent="0.35">
      <c r="C397" s="31"/>
      <c r="D397" s="31"/>
      <c r="E397" s="26"/>
      <c r="F397" s="34"/>
      <c r="J397" s="26"/>
      <c r="K397" s="25"/>
      <c r="L397" s="34"/>
    </row>
    <row r="398" spans="3:12" x14ac:dyDescent="0.35">
      <c r="C398" s="31"/>
      <c r="D398" s="31"/>
      <c r="E398" s="26"/>
      <c r="F398" s="34"/>
      <c r="J398" s="26"/>
      <c r="K398" s="25"/>
      <c r="L398" s="34"/>
    </row>
    <row r="399" spans="3:12" x14ac:dyDescent="0.35">
      <c r="C399" s="31"/>
      <c r="D399" s="31"/>
      <c r="E399" s="26"/>
      <c r="F399" s="34"/>
      <c r="J399" s="26"/>
      <c r="K399" s="25"/>
      <c r="L399" s="34"/>
    </row>
    <row r="400" spans="3:12" x14ac:dyDescent="0.35">
      <c r="C400" s="31"/>
      <c r="D400" s="31"/>
      <c r="E400" s="26"/>
      <c r="F400" s="34"/>
      <c r="J400" s="26"/>
      <c r="K400" s="25"/>
      <c r="L400" s="34"/>
    </row>
    <row r="401" spans="3:12" x14ac:dyDescent="0.35">
      <c r="C401" s="31"/>
      <c r="D401" s="31"/>
      <c r="E401" s="26"/>
      <c r="F401" s="34"/>
      <c r="J401" s="26"/>
      <c r="K401" s="25"/>
      <c r="L401" s="34"/>
    </row>
    <row r="402" spans="3:12" x14ac:dyDescent="0.35">
      <c r="C402" s="31"/>
      <c r="D402" s="31"/>
      <c r="E402" s="26"/>
      <c r="F402" s="34"/>
      <c r="J402" s="26"/>
      <c r="K402" s="25"/>
      <c r="L402" s="34"/>
    </row>
    <row r="403" spans="3:12" x14ac:dyDescent="0.35">
      <c r="C403" s="31"/>
      <c r="D403" s="31"/>
      <c r="E403" s="26"/>
      <c r="F403" s="34"/>
      <c r="J403" s="26"/>
      <c r="K403" s="25"/>
      <c r="L403" s="34"/>
    </row>
    <row r="404" spans="3:12" x14ac:dyDescent="0.35">
      <c r="C404" s="31"/>
      <c r="D404" s="31"/>
      <c r="E404" s="26"/>
      <c r="F404" s="34"/>
      <c r="J404" s="26"/>
      <c r="K404" s="25"/>
      <c r="L404" s="34"/>
    </row>
    <row r="405" spans="3:12" x14ac:dyDescent="0.35">
      <c r="C405" s="31"/>
      <c r="D405" s="31"/>
      <c r="E405" s="26"/>
      <c r="F405" s="34"/>
      <c r="J405" s="26"/>
      <c r="K405" s="25"/>
      <c r="L405" s="34"/>
    </row>
    <row r="406" spans="3:12" x14ac:dyDescent="0.35">
      <c r="C406" s="31"/>
      <c r="D406" s="31"/>
      <c r="E406" s="26"/>
      <c r="F406" s="34"/>
      <c r="J406" s="26"/>
      <c r="K406" s="25"/>
      <c r="L406" s="34"/>
    </row>
    <row r="407" spans="3:12" x14ac:dyDescent="0.35">
      <c r="C407" s="31"/>
      <c r="D407" s="31"/>
      <c r="E407" s="26"/>
      <c r="F407" s="34"/>
      <c r="J407" s="26"/>
      <c r="K407" s="25"/>
      <c r="L407" s="34"/>
    </row>
    <row r="408" spans="3:12" x14ac:dyDescent="0.35">
      <c r="C408" s="31"/>
      <c r="D408" s="31"/>
      <c r="E408" s="26"/>
      <c r="F408" s="34"/>
      <c r="J408" s="26"/>
      <c r="K408" s="25"/>
      <c r="L408" s="34"/>
    </row>
    <row r="409" spans="3:12" x14ac:dyDescent="0.35">
      <c r="C409" s="31"/>
      <c r="D409" s="31"/>
      <c r="E409" s="26"/>
      <c r="F409" s="34"/>
      <c r="J409" s="26"/>
      <c r="K409" s="25"/>
      <c r="L409" s="34"/>
    </row>
    <row r="410" spans="3:12" x14ac:dyDescent="0.35">
      <c r="C410" s="31"/>
      <c r="D410" s="31"/>
      <c r="E410" s="26"/>
      <c r="F410" s="34"/>
      <c r="J410" s="26"/>
      <c r="K410" s="25"/>
      <c r="L410" s="34"/>
    </row>
    <row r="411" spans="3:12" x14ac:dyDescent="0.35">
      <c r="C411" s="31"/>
      <c r="D411" s="31"/>
      <c r="E411" s="26"/>
      <c r="F411" s="34"/>
      <c r="J411" s="26"/>
      <c r="K411" s="25"/>
      <c r="L411" s="34"/>
    </row>
    <row r="412" spans="3:12" x14ac:dyDescent="0.35">
      <c r="C412" s="31"/>
      <c r="D412" s="31"/>
    </row>
    <row r="413" spans="3:12" x14ac:dyDescent="0.35">
      <c r="C413" s="31"/>
      <c r="D413" s="31"/>
    </row>
    <row r="414" spans="3:12" x14ac:dyDescent="0.35">
      <c r="C414" s="31"/>
      <c r="D414" s="31"/>
    </row>
    <row r="415" spans="3:12" x14ac:dyDescent="0.35">
      <c r="C415" s="31"/>
      <c r="D415" s="31"/>
    </row>
    <row r="416" spans="3:12" x14ac:dyDescent="0.35">
      <c r="C416" s="31"/>
      <c r="D416" s="31"/>
    </row>
    <row r="417" spans="3:4" x14ac:dyDescent="0.35">
      <c r="C417" s="31"/>
      <c r="D417" s="31"/>
    </row>
    <row r="418" spans="3:4" x14ac:dyDescent="0.35">
      <c r="C418" s="31"/>
      <c r="D418" s="31"/>
    </row>
    <row r="419" spans="3:4" x14ac:dyDescent="0.35">
      <c r="C419" s="31"/>
      <c r="D419" s="31"/>
    </row>
    <row r="420" spans="3:4" x14ac:dyDescent="0.35">
      <c r="C420" s="31"/>
      <c r="D420" s="31"/>
    </row>
    <row r="421" spans="3:4" x14ac:dyDescent="0.35">
      <c r="C421" s="31"/>
      <c r="D421" s="31"/>
    </row>
    <row r="422" spans="3:4" x14ac:dyDescent="0.35">
      <c r="C422" s="31"/>
      <c r="D422" s="31"/>
    </row>
    <row r="423" spans="3:4" x14ac:dyDescent="0.35">
      <c r="C423" s="31"/>
      <c r="D423" s="31"/>
    </row>
    <row r="424" spans="3:4" x14ac:dyDescent="0.35">
      <c r="C424" s="31"/>
      <c r="D424" s="31"/>
    </row>
    <row r="425" spans="3:4" x14ac:dyDescent="0.35">
      <c r="C425" s="31"/>
      <c r="D425" s="31"/>
    </row>
    <row r="426" spans="3:4" x14ac:dyDescent="0.35">
      <c r="C426" s="31"/>
      <c r="D426" s="31"/>
    </row>
    <row r="427" spans="3:4" x14ac:dyDescent="0.35">
      <c r="C427" s="31"/>
      <c r="D427" s="31"/>
    </row>
    <row r="428" spans="3:4" x14ac:dyDescent="0.35">
      <c r="C428" s="31"/>
      <c r="D428" s="31"/>
    </row>
    <row r="429" spans="3:4" x14ac:dyDescent="0.35">
      <c r="C429" s="31"/>
      <c r="D429" s="31"/>
    </row>
    <row r="430" spans="3:4" x14ac:dyDescent="0.35">
      <c r="C430" s="31"/>
      <c r="D430" s="31"/>
    </row>
    <row r="431" spans="3:4" x14ac:dyDescent="0.35">
      <c r="C431" s="31"/>
      <c r="D431" s="31"/>
    </row>
    <row r="432" spans="3:4" x14ac:dyDescent="0.35">
      <c r="C432" s="31"/>
      <c r="D432" s="31"/>
    </row>
    <row r="433" spans="3:4" x14ac:dyDescent="0.35">
      <c r="C433" s="31"/>
      <c r="D433" s="31"/>
    </row>
    <row r="434" spans="3:4" x14ac:dyDescent="0.35">
      <c r="C434" s="31"/>
      <c r="D434" s="31"/>
    </row>
    <row r="435" spans="3:4" x14ac:dyDescent="0.35">
      <c r="C435" s="31"/>
      <c r="D435" s="31"/>
    </row>
    <row r="436" spans="3:4" x14ac:dyDescent="0.35">
      <c r="C436" s="31"/>
      <c r="D436" s="31"/>
    </row>
    <row r="437" spans="3:4" x14ac:dyDescent="0.35">
      <c r="C437" s="31"/>
      <c r="D437" s="31"/>
    </row>
    <row r="438" spans="3:4" x14ac:dyDescent="0.35">
      <c r="C438" s="31"/>
      <c r="D438" s="31"/>
    </row>
    <row r="439" spans="3:4" x14ac:dyDescent="0.35">
      <c r="C439" s="31"/>
      <c r="D439" s="31"/>
    </row>
    <row r="440" spans="3:4" x14ac:dyDescent="0.35">
      <c r="C440" s="31"/>
      <c r="D440" s="31"/>
    </row>
    <row r="441" spans="3:4" x14ac:dyDescent="0.35">
      <c r="C441" s="31"/>
      <c r="D441" s="31"/>
    </row>
    <row r="442" spans="3:4" x14ac:dyDescent="0.35">
      <c r="C442" s="31"/>
      <c r="D442" s="31"/>
    </row>
    <row r="443" spans="3:4" x14ac:dyDescent="0.35">
      <c r="C443" s="31"/>
      <c r="D443" s="31"/>
    </row>
    <row r="444" spans="3:4" x14ac:dyDescent="0.35">
      <c r="C444" s="31"/>
      <c r="D444" s="31"/>
    </row>
    <row r="445" spans="3:4" x14ac:dyDescent="0.35">
      <c r="C445" s="31"/>
      <c r="D445" s="31"/>
    </row>
    <row r="446" spans="3:4" x14ac:dyDescent="0.35">
      <c r="C446" s="31"/>
      <c r="D446" s="31"/>
    </row>
    <row r="447" spans="3:4" x14ac:dyDescent="0.35">
      <c r="C447" s="31"/>
      <c r="D447" s="31"/>
    </row>
    <row r="448" spans="3:4" x14ac:dyDescent="0.35">
      <c r="C448" s="31"/>
      <c r="D448" s="31"/>
    </row>
    <row r="449" spans="3:4" x14ac:dyDescent="0.35">
      <c r="C449" s="31"/>
      <c r="D449" s="31"/>
    </row>
    <row r="450" spans="3:4" x14ac:dyDescent="0.35">
      <c r="C450" s="31"/>
      <c r="D450" s="31"/>
    </row>
    <row r="451" spans="3:4" x14ac:dyDescent="0.35">
      <c r="C451" s="31"/>
      <c r="D451" s="31"/>
    </row>
    <row r="452" spans="3:4" x14ac:dyDescent="0.35">
      <c r="C452" s="31"/>
      <c r="D452" s="31"/>
    </row>
    <row r="453" spans="3:4" x14ac:dyDescent="0.35">
      <c r="C453" s="31"/>
      <c r="D453" s="31"/>
    </row>
    <row r="454" spans="3:4" x14ac:dyDescent="0.35">
      <c r="C454" s="31"/>
      <c r="D454" s="31"/>
    </row>
    <row r="455" spans="3:4" x14ac:dyDescent="0.35">
      <c r="C455" s="31"/>
      <c r="D455" s="31"/>
    </row>
    <row r="456" spans="3:4" x14ac:dyDescent="0.35">
      <c r="C456" s="31"/>
      <c r="D456" s="31"/>
    </row>
    <row r="457" spans="3:4" x14ac:dyDescent="0.35">
      <c r="C457" s="31"/>
      <c r="D457" s="31"/>
    </row>
    <row r="458" spans="3:4" x14ac:dyDescent="0.35">
      <c r="C458" s="31"/>
      <c r="D458" s="31"/>
    </row>
    <row r="459" spans="3:4" x14ac:dyDescent="0.35">
      <c r="C459" s="31"/>
      <c r="D459" s="31"/>
    </row>
    <row r="460" spans="3:4" x14ac:dyDescent="0.35">
      <c r="C460" s="31"/>
      <c r="D460" s="31"/>
    </row>
    <row r="461" spans="3:4" x14ac:dyDescent="0.35">
      <c r="C461" s="31"/>
      <c r="D461" s="31"/>
    </row>
    <row r="462" spans="3:4" x14ac:dyDescent="0.35">
      <c r="C462" s="31"/>
      <c r="D462" s="31"/>
    </row>
    <row r="463" spans="3:4" x14ac:dyDescent="0.35">
      <c r="C463" s="31"/>
      <c r="D463" s="31"/>
    </row>
    <row r="464" spans="3:4" x14ac:dyDescent="0.35">
      <c r="C464" s="31"/>
      <c r="D464" s="31"/>
    </row>
    <row r="465" spans="3:4" x14ac:dyDescent="0.35">
      <c r="C465" s="31"/>
      <c r="D465" s="31"/>
    </row>
    <row r="466" spans="3:4" x14ac:dyDescent="0.35">
      <c r="C466" s="31"/>
      <c r="D466" s="31"/>
    </row>
    <row r="467" spans="3:4" x14ac:dyDescent="0.35">
      <c r="C467" s="31"/>
      <c r="D467" s="31"/>
    </row>
    <row r="468" spans="3:4" x14ac:dyDescent="0.35">
      <c r="C468" s="31"/>
      <c r="D468" s="31"/>
    </row>
    <row r="469" spans="3:4" x14ac:dyDescent="0.35">
      <c r="C469" s="31"/>
      <c r="D469" s="31"/>
    </row>
    <row r="470" spans="3:4" x14ac:dyDescent="0.35">
      <c r="C470" s="31"/>
      <c r="D470" s="31"/>
    </row>
    <row r="471" spans="3:4" x14ac:dyDescent="0.35">
      <c r="C471" s="31"/>
      <c r="D471" s="31"/>
    </row>
    <row r="472" spans="3:4" x14ac:dyDescent="0.35">
      <c r="C472" s="31"/>
      <c r="D472" s="31"/>
    </row>
    <row r="473" spans="3:4" x14ac:dyDescent="0.35">
      <c r="C473" s="31"/>
      <c r="D473" s="31"/>
    </row>
    <row r="474" spans="3:4" x14ac:dyDescent="0.35">
      <c r="C474" s="31"/>
      <c r="D474" s="31"/>
    </row>
    <row r="475" spans="3:4" x14ac:dyDescent="0.35">
      <c r="C475" s="31"/>
      <c r="D475" s="31"/>
    </row>
    <row r="476" spans="3:4" x14ac:dyDescent="0.35">
      <c r="C476" s="31"/>
      <c r="D476" s="31"/>
    </row>
    <row r="477" spans="3:4" x14ac:dyDescent="0.35">
      <c r="C477" s="31"/>
      <c r="D477" s="31"/>
    </row>
    <row r="478" spans="3:4" x14ac:dyDescent="0.35">
      <c r="C478" s="31"/>
      <c r="D478" s="31"/>
    </row>
    <row r="479" spans="3:4" x14ac:dyDescent="0.35">
      <c r="C479" s="31"/>
      <c r="D479" s="31"/>
    </row>
    <row r="480" spans="3:4" x14ac:dyDescent="0.35">
      <c r="C480" s="31"/>
      <c r="D480" s="31"/>
    </row>
    <row r="481" spans="3:4" x14ac:dyDescent="0.35">
      <c r="C481" s="31"/>
      <c r="D481" s="31"/>
    </row>
    <row r="482" spans="3:4" x14ac:dyDescent="0.35">
      <c r="C482" s="31"/>
      <c r="D482" s="31"/>
    </row>
    <row r="483" spans="3:4" x14ac:dyDescent="0.35">
      <c r="C483" s="31"/>
      <c r="D483" s="31"/>
    </row>
    <row r="484" spans="3:4" x14ac:dyDescent="0.35">
      <c r="C484" s="31"/>
      <c r="D484" s="31"/>
    </row>
    <row r="485" spans="3:4" x14ac:dyDescent="0.35">
      <c r="C485" s="31"/>
      <c r="D485" s="31"/>
    </row>
    <row r="486" spans="3:4" x14ac:dyDescent="0.35">
      <c r="C486" s="31"/>
      <c r="D486" s="31"/>
    </row>
    <row r="487" spans="3:4" x14ac:dyDescent="0.35">
      <c r="C487" s="31"/>
      <c r="D487" s="31"/>
    </row>
    <row r="488" spans="3:4" x14ac:dyDescent="0.35">
      <c r="C488" s="31"/>
      <c r="D488" s="31"/>
    </row>
    <row r="489" spans="3:4" x14ac:dyDescent="0.35">
      <c r="C489" s="31"/>
      <c r="D489" s="31"/>
    </row>
    <row r="490" spans="3:4" x14ac:dyDescent="0.35">
      <c r="C490" s="31"/>
      <c r="D490" s="31"/>
    </row>
    <row r="491" spans="3:4" x14ac:dyDescent="0.35">
      <c r="C491" s="31"/>
      <c r="D491" s="31"/>
    </row>
    <row r="492" spans="3:4" x14ac:dyDescent="0.35">
      <c r="C492" s="31"/>
      <c r="D492" s="31"/>
    </row>
    <row r="493" spans="3:4" x14ac:dyDescent="0.35">
      <c r="C493" s="31"/>
      <c r="D493" s="31"/>
    </row>
    <row r="494" spans="3:4" x14ac:dyDescent="0.35">
      <c r="C494" s="31"/>
      <c r="D494" s="31"/>
    </row>
    <row r="495" spans="3:4" x14ac:dyDescent="0.35">
      <c r="C495" s="31"/>
      <c r="D495" s="31"/>
    </row>
    <row r="496" spans="3:4" x14ac:dyDescent="0.35">
      <c r="C496" s="31"/>
      <c r="D496" s="31"/>
    </row>
    <row r="497" spans="3:4" x14ac:dyDescent="0.35">
      <c r="C497" s="31"/>
      <c r="D497" s="31"/>
    </row>
    <row r="498" spans="3:4" x14ac:dyDescent="0.35">
      <c r="C498" s="31"/>
      <c r="D498" s="31"/>
    </row>
    <row r="499" spans="3:4" x14ac:dyDescent="0.35">
      <c r="C499" s="31"/>
      <c r="D499" s="31"/>
    </row>
    <row r="500" spans="3:4" x14ac:dyDescent="0.35">
      <c r="C500" s="31"/>
      <c r="D500" s="31"/>
    </row>
    <row r="501" spans="3:4" x14ac:dyDescent="0.35">
      <c r="C501" s="31"/>
      <c r="D501" s="31"/>
    </row>
    <row r="502" spans="3:4" x14ac:dyDescent="0.35">
      <c r="C502" s="31"/>
      <c r="D502" s="31"/>
    </row>
    <row r="503" spans="3:4" x14ac:dyDescent="0.35">
      <c r="C503" s="31"/>
      <c r="D503" s="31"/>
    </row>
    <row r="504" spans="3:4" x14ac:dyDescent="0.35">
      <c r="C504" s="31"/>
      <c r="D504" s="31"/>
    </row>
    <row r="505" spans="3:4" x14ac:dyDescent="0.35">
      <c r="C505" s="31"/>
      <c r="D505" s="31"/>
    </row>
    <row r="506" spans="3:4" x14ac:dyDescent="0.35">
      <c r="C506" s="31"/>
      <c r="D506" s="31"/>
    </row>
    <row r="507" spans="3:4" x14ac:dyDescent="0.35">
      <c r="C507" s="31"/>
      <c r="D507" s="31"/>
    </row>
    <row r="508" spans="3:4" x14ac:dyDescent="0.35">
      <c r="C508" s="31"/>
      <c r="D508" s="31"/>
    </row>
    <row r="509" spans="3:4" x14ac:dyDescent="0.35">
      <c r="C509" s="31"/>
      <c r="D509" s="31"/>
    </row>
    <row r="510" spans="3:4" x14ac:dyDescent="0.35">
      <c r="C510" s="31"/>
      <c r="D510" s="31"/>
    </row>
    <row r="511" spans="3:4" x14ac:dyDescent="0.35">
      <c r="C511" s="31"/>
      <c r="D511" s="31"/>
    </row>
    <row r="512" spans="3:4" x14ac:dyDescent="0.35">
      <c r="C512" s="31"/>
      <c r="D512" s="31"/>
    </row>
    <row r="513" spans="3:4" x14ac:dyDescent="0.35">
      <c r="C513" s="31"/>
      <c r="D513" s="31"/>
    </row>
    <row r="514" spans="3:4" x14ac:dyDescent="0.35">
      <c r="C514" s="31"/>
      <c r="D514" s="31"/>
    </row>
    <row r="515" spans="3:4" x14ac:dyDescent="0.35">
      <c r="C515" s="31"/>
      <c r="D515" s="31"/>
    </row>
    <row r="516" spans="3:4" x14ac:dyDescent="0.35">
      <c r="C516" s="31"/>
      <c r="D516" s="31"/>
    </row>
    <row r="517" spans="3:4" x14ac:dyDescent="0.35">
      <c r="C517" s="31"/>
      <c r="D517" s="31"/>
    </row>
    <row r="518" spans="3:4" x14ac:dyDescent="0.35">
      <c r="C518" s="31"/>
      <c r="D518" s="31"/>
    </row>
    <row r="519" spans="3:4" x14ac:dyDescent="0.35">
      <c r="C519" s="31"/>
      <c r="D519" s="31"/>
    </row>
    <row r="520" spans="3:4" x14ac:dyDescent="0.35">
      <c r="C520" s="31"/>
      <c r="D520" s="31"/>
    </row>
    <row r="521" spans="3:4" x14ac:dyDescent="0.35">
      <c r="C521" s="31"/>
      <c r="D521" s="31"/>
    </row>
    <row r="522" spans="3:4" x14ac:dyDescent="0.35">
      <c r="C522" s="31"/>
      <c r="D522" s="31"/>
    </row>
    <row r="523" spans="3:4" x14ac:dyDescent="0.35">
      <c r="C523" s="31"/>
      <c r="D523" s="31"/>
    </row>
    <row r="524" spans="3:4" x14ac:dyDescent="0.35">
      <c r="C524" s="31"/>
      <c r="D524" s="31"/>
    </row>
    <row r="525" spans="3:4" x14ac:dyDescent="0.35">
      <c r="C525" s="31"/>
      <c r="D525" s="31"/>
    </row>
    <row r="526" spans="3:4" x14ac:dyDescent="0.35">
      <c r="C526" s="31"/>
      <c r="D526" s="31"/>
    </row>
    <row r="527" spans="3:4" x14ac:dyDescent="0.35">
      <c r="C527" s="31"/>
      <c r="D527" s="31"/>
    </row>
    <row r="528" spans="3:4" x14ac:dyDescent="0.35">
      <c r="C528" s="31"/>
      <c r="D528" s="31"/>
    </row>
    <row r="529" spans="3:4" x14ac:dyDescent="0.35">
      <c r="C529" s="31"/>
      <c r="D529" s="31"/>
    </row>
    <row r="530" spans="3:4" x14ac:dyDescent="0.35">
      <c r="C530" s="31"/>
      <c r="D530" s="31"/>
    </row>
    <row r="531" spans="3:4" x14ac:dyDescent="0.35">
      <c r="C531" s="31"/>
      <c r="D531" s="31"/>
    </row>
    <row r="532" spans="3:4" x14ac:dyDescent="0.35">
      <c r="C532" s="31"/>
      <c r="D532" s="31"/>
    </row>
    <row r="533" spans="3:4" x14ac:dyDescent="0.35">
      <c r="C533" s="31"/>
      <c r="D533" s="31"/>
    </row>
    <row r="534" spans="3:4" x14ac:dyDescent="0.35">
      <c r="C534" s="31"/>
      <c r="D534" s="31"/>
    </row>
    <row r="535" spans="3:4" x14ac:dyDescent="0.35">
      <c r="C535" s="31"/>
      <c r="D535" s="31"/>
    </row>
    <row r="536" spans="3:4" x14ac:dyDescent="0.35">
      <c r="C536" s="31"/>
      <c r="D536" s="31"/>
    </row>
    <row r="537" spans="3:4" x14ac:dyDescent="0.35">
      <c r="C537" s="31"/>
      <c r="D537" s="31"/>
    </row>
    <row r="538" spans="3:4" x14ac:dyDescent="0.35">
      <c r="C538" s="31"/>
      <c r="D538" s="31"/>
    </row>
    <row r="539" spans="3:4" x14ac:dyDescent="0.35">
      <c r="C539" s="31"/>
      <c r="D539" s="31"/>
    </row>
    <row r="540" spans="3:4" x14ac:dyDescent="0.35">
      <c r="C540" s="31"/>
      <c r="D540" s="31"/>
    </row>
    <row r="541" spans="3:4" x14ac:dyDescent="0.35">
      <c r="C541" s="31"/>
      <c r="D541" s="31"/>
    </row>
    <row r="542" spans="3:4" x14ac:dyDescent="0.35">
      <c r="C542" s="31"/>
      <c r="D542" s="31"/>
    </row>
    <row r="543" spans="3:4" x14ac:dyDescent="0.35">
      <c r="C543" s="31"/>
      <c r="D543" s="31"/>
    </row>
    <row r="544" spans="3:4" x14ac:dyDescent="0.35">
      <c r="C544" s="31"/>
      <c r="D544" s="31"/>
    </row>
    <row r="545" spans="3:4" x14ac:dyDescent="0.35">
      <c r="C545" s="31"/>
      <c r="D545" s="31"/>
    </row>
    <row r="546" spans="3:4" x14ac:dyDescent="0.35">
      <c r="C546" s="31"/>
      <c r="D546" s="31"/>
    </row>
    <row r="547" spans="3:4" x14ac:dyDescent="0.35">
      <c r="C547" s="31"/>
      <c r="D547" s="31"/>
    </row>
    <row r="548" spans="3:4" x14ac:dyDescent="0.35">
      <c r="C548" s="31"/>
      <c r="D548" s="31"/>
    </row>
    <row r="549" spans="3:4" x14ac:dyDescent="0.35">
      <c r="C549" s="31"/>
      <c r="D549" s="31"/>
    </row>
    <row r="550" spans="3:4" x14ac:dyDescent="0.35">
      <c r="C550" s="31"/>
      <c r="D550" s="31"/>
    </row>
    <row r="551" spans="3:4" x14ac:dyDescent="0.35">
      <c r="C551" s="31"/>
      <c r="D551" s="31"/>
    </row>
    <row r="552" spans="3:4" x14ac:dyDescent="0.35">
      <c r="C552" s="31"/>
      <c r="D552" s="31"/>
    </row>
    <row r="553" spans="3:4" x14ac:dyDescent="0.35">
      <c r="C553" s="31"/>
      <c r="D553" s="31"/>
    </row>
    <row r="554" spans="3:4" x14ac:dyDescent="0.35">
      <c r="C554" s="31"/>
      <c r="D554" s="31"/>
    </row>
    <row r="555" spans="3:4" x14ac:dyDescent="0.35">
      <c r="C555" s="31"/>
      <c r="D555" s="31"/>
    </row>
    <row r="556" spans="3:4" x14ac:dyDescent="0.35">
      <c r="C556" s="31"/>
      <c r="D556" s="31"/>
    </row>
    <row r="557" spans="3:4" x14ac:dyDescent="0.35">
      <c r="C557" s="31"/>
      <c r="D557" s="31"/>
    </row>
    <row r="558" spans="3:4" x14ac:dyDescent="0.35">
      <c r="C558" s="31"/>
      <c r="D558" s="31"/>
    </row>
    <row r="559" spans="3:4" x14ac:dyDescent="0.35">
      <c r="C559" s="31"/>
      <c r="D559" s="31"/>
    </row>
    <row r="560" spans="3:4" x14ac:dyDescent="0.35">
      <c r="C560" s="31"/>
      <c r="D560" s="31"/>
    </row>
    <row r="561" spans="3:4" x14ac:dyDescent="0.35">
      <c r="C561" s="31"/>
      <c r="D561" s="31"/>
    </row>
    <row r="562" spans="3:4" x14ac:dyDescent="0.35">
      <c r="C562" s="31"/>
      <c r="D562" s="31"/>
    </row>
    <row r="563" spans="3:4" x14ac:dyDescent="0.35">
      <c r="C563" s="31"/>
      <c r="D563" s="31"/>
    </row>
    <row r="564" spans="3:4" x14ac:dyDescent="0.35">
      <c r="C564" s="31"/>
      <c r="D564" s="31"/>
    </row>
    <row r="565" spans="3:4" x14ac:dyDescent="0.35">
      <c r="C565" s="31"/>
      <c r="D565" s="31"/>
    </row>
    <row r="566" spans="3:4" x14ac:dyDescent="0.35">
      <c r="C566" s="31"/>
      <c r="D566" s="31"/>
    </row>
    <row r="567" spans="3:4" x14ac:dyDescent="0.35">
      <c r="C567" s="31"/>
      <c r="D567" s="31"/>
    </row>
    <row r="568" spans="3:4" x14ac:dyDescent="0.35">
      <c r="C568" s="31"/>
      <c r="D568" s="31"/>
    </row>
    <row r="569" spans="3:4" x14ac:dyDescent="0.35">
      <c r="C569" s="31"/>
      <c r="D569" s="31"/>
    </row>
    <row r="570" spans="3:4" x14ac:dyDescent="0.35">
      <c r="C570" s="31"/>
      <c r="D570" s="31"/>
    </row>
    <row r="571" spans="3:4" x14ac:dyDescent="0.35">
      <c r="C571" s="31"/>
      <c r="D571" s="31"/>
    </row>
    <row r="572" spans="3:4" x14ac:dyDescent="0.35">
      <c r="C572" s="31"/>
      <c r="D572" s="31"/>
    </row>
    <row r="573" spans="3:4" x14ac:dyDescent="0.35">
      <c r="C573" s="31"/>
      <c r="D573" s="31"/>
    </row>
    <row r="574" spans="3:4" x14ac:dyDescent="0.35">
      <c r="C574" s="31"/>
      <c r="D574" s="31"/>
    </row>
    <row r="575" spans="3:4" x14ac:dyDescent="0.35">
      <c r="C575" s="31"/>
      <c r="D575" s="31"/>
    </row>
    <row r="576" spans="3:4" x14ac:dyDescent="0.35">
      <c r="C576" s="31"/>
      <c r="D576" s="31"/>
    </row>
    <row r="577" spans="3:4" x14ac:dyDescent="0.35">
      <c r="C577" s="31"/>
      <c r="D577" s="31"/>
    </row>
    <row r="578" spans="3:4" x14ac:dyDescent="0.35">
      <c r="C578" s="31"/>
      <c r="D578" s="31"/>
    </row>
    <row r="579" spans="3:4" x14ac:dyDescent="0.35">
      <c r="C579" s="31"/>
      <c r="D579" s="31"/>
    </row>
    <row r="580" spans="3:4" x14ac:dyDescent="0.35">
      <c r="C580" s="31"/>
      <c r="D580" s="31"/>
    </row>
    <row r="581" spans="3:4" x14ac:dyDescent="0.35">
      <c r="C581" s="31"/>
      <c r="D581" s="31"/>
    </row>
    <row r="582" spans="3:4" x14ac:dyDescent="0.35">
      <c r="C582" s="31"/>
      <c r="D582" s="31"/>
    </row>
    <row r="583" spans="3:4" x14ac:dyDescent="0.35">
      <c r="C583" s="31"/>
      <c r="D583" s="31"/>
    </row>
    <row r="584" spans="3:4" x14ac:dyDescent="0.35">
      <c r="C584" s="31"/>
      <c r="D584" s="31"/>
    </row>
    <row r="585" spans="3:4" x14ac:dyDescent="0.35">
      <c r="C585" s="31"/>
      <c r="D585" s="31"/>
    </row>
    <row r="586" spans="3:4" x14ac:dyDescent="0.35">
      <c r="C586" s="31"/>
      <c r="D586" s="31"/>
    </row>
    <row r="587" spans="3:4" x14ac:dyDescent="0.35">
      <c r="C587" s="31"/>
      <c r="D587" s="31"/>
    </row>
    <row r="588" spans="3:4" x14ac:dyDescent="0.35">
      <c r="C588" s="31"/>
      <c r="D588" s="31"/>
    </row>
    <row r="589" spans="3:4" x14ac:dyDescent="0.35">
      <c r="C589" s="31"/>
      <c r="D589" s="31"/>
    </row>
    <row r="590" spans="3:4" x14ac:dyDescent="0.35">
      <c r="C590" s="31"/>
      <c r="D590" s="31"/>
    </row>
    <row r="591" spans="3:4" x14ac:dyDescent="0.35">
      <c r="C591" s="31"/>
      <c r="D591" s="31"/>
    </row>
    <row r="592" spans="3:4" x14ac:dyDescent="0.35">
      <c r="C592" s="31"/>
      <c r="D592" s="31"/>
    </row>
    <row r="593" spans="3:4" x14ac:dyDescent="0.35">
      <c r="C593" s="31"/>
      <c r="D593" s="31"/>
    </row>
    <row r="594" spans="3:4" x14ac:dyDescent="0.35">
      <c r="C594" s="31"/>
      <c r="D594" s="31"/>
    </row>
    <row r="595" spans="3:4" x14ac:dyDescent="0.35">
      <c r="C595" s="31"/>
      <c r="D595" s="31"/>
    </row>
    <row r="596" spans="3:4" x14ac:dyDescent="0.35">
      <c r="C596" s="31"/>
      <c r="D596" s="31"/>
    </row>
    <row r="597" spans="3:4" x14ac:dyDescent="0.35">
      <c r="C597" s="31"/>
      <c r="D597" s="31"/>
    </row>
    <row r="598" spans="3:4" x14ac:dyDescent="0.35">
      <c r="C598" s="31"/>
      <c r="D598" s="31"/>
    </row>
    <row r="599" spans="3:4" x14ac:dyDescent="0.35">
      <c r="C599" s="31"/>
      <c r="D599" s="31"/>
    </row>
    <row r="600" spans="3:4" x14ac:dyDescent="0.35">
      <c r="C600" s="31"/>
      <c r="D600" s="31"/>
    </row>
    <row r="601" spans="3:4" x14ac:dyDescent="0.35">
      <c r="C601" s="31"/>
      <c r="D601" s="31"/>
    </row>
    <row r="602" spans="3:4" x14ac:dyDescent="0.35">
      <c r="C602" s="31"/>
      <c r="D602" s="31"/>
    </row>
    <row r="603" spans="3:4" x14ac:dyDescent="0.35">
      <c r="C603" s="31"/>
      <c r="D603" s="31"/>
    </row>
    <row r="604" spans="3:4" x14ac:dyDescent="0.35">
      <c r="C604" s="31"/>
      <c r="D604" s="31"/>
    </row>
    <row r="605" spans="3:4" x14ac:dyDescent="0.35">
      <c r="C605" s="31"/>
      <c r="D605" s="31"/>
    </row>
    <row r="606" spans="3:4" x14ac:dyDescent="0.35">
      <c r="C606" s="31"/>
      <c r="D606" s="31"/>
    </row>
    <row r="607" spans="3:4" x14ac:dyDescent="0.35">
      <c r="C607" s="31"/>
    </row>
    <row r="608" spans="3:4" x14ac:dyDescent="0.35">
      <c r="C608" s="31"/>
    </row>
    <row r="609" spans="3:3" x14ac:dyDescent="0.35">
      <c r="C609" s="31"/>
    </row>
    <row r="610" spans="3:3" x14ac:dyDescent="0.35">
      <c r="C610" s="31"/>
    </row>
    <row r="611" spans="3:3" x14ac:dyDescent="0.35">
      <c r="C611" s="31"/>
    </row>
    <row r="612" spans="3:3" x14ac:dyDescent="0.35">
      <c r="C612" s="31"/>
    </row>
    <row r="613" spans="3:3" x14ac:dyDescent="0.35">
      <c r="C613" s="31"/>
    </row>
    <row r="614" spans="3:3" x14ac:dyDescent="0.35">
      <c r="C614" s="31"/>
    </row>
    <row r="615" spans="3:3" x14ac:dyDescent="0.35">
      <c r="C615" s="31"/>
    </row>
    <row r="616" spans="3:3" x14ac:dyDescent="0.35">
      <c r="C616" s="31"/>
    </row>
    <row r="617" spans="3:3" x14ac:dyDescent="0.35">
      <c r="C617" s="31"/>
    </row>
    <row r="618" spans="3:3" x14ac:dyDescent="0.35">
      <c r="C618" s="31"/>
    </row>
    <row r="619" spans="3:3" x14ac:dyDescent="0.35">
      <c r="C619" s="31"/>
    </row>
    <row r="620" spans="3:3" x14ac:dyDescent="0.35">
      <c r="C620" s="31"/>
    </row>
    <row r="621" spans="3:3" x14ac:dyDescent="0.35">
      <c r="C621" s="31"/>
    </row>
    <row r="622" spans="3:3" x14ac:dyDescent="0.35">
      <c r="C622" s="31"/>
    </row>
    <row r="623" spans="3:3" x14ac:dyDescent="0.35">
      <c r="C623" s="31"/>
    </row>
    <row r="624" spans="3:3" x14ac:dyDescent="0.35">
      <c r="C624" s="31"/>
    </row>
    <row r="625" spans="3:3" x14ac:dyDescent="0.35">
      <c r="C625" s="31"/>
    </row>
    <row r="626" spans="3:3" x14ac:dyDescent="0.35">
      <c r="C626" s="31"/>
    </row>
    <row r="627" spans="3:3" x14ac:dyDescent="0.35">
      <c r="C627" s="31"/>
    </row>
    <row r="628" spans="3:3" x14ac:dyDescent="0.35">
      <c r="C628" s="31"/>
    </row>
    <row r="629" spans="3:3" x14ac:dyDescent="0.35">
      <c r="C629" s="31"/>
    </row>
    <row r="630" spans="3:3" x14ac:dyDescent="0.35">
      <c r="C630" s="31"/>
    </row>
    <row r="631" spans="3:3" x14ac:dyDescent="0.35">
      <c r="C631" s="31"/>
    </row>
    <row r="632" spans="3:3" x14ac:dyDescent="0.35">
      <c r="C632" s="31"/>
    </row>
    <row r="633" spans="3:3" x14ac:dyDescent="0.35">
      <c r="C633" s="31"/>
    </row>
    <row r="634" spans="3:3" x14ac:dyDescent="0.35">
      <c r="C634" s="31"/>
    </row>
    <row r="635" spans="3:3" x14ac:dyDescent="0.35">
      <c r="C635" s="31"/>
    </row>
    <row r="636" spans="3:3" x14ac:dyDescent="0.35">
      <c r="C636" s="31"/>
    </row>
    <row r="637" spans="3:3" x14ac:dyDescent="0.35">
      <c r="C637" s="31"/>
    </row>
    <row r="638" spans="3:3" x14ac:dyDescent="0.35">
      <c r="C638" s="31"/>
    </row>
    <row r="639" spans="3:3" x14ac:dyDescent="0.35">
      <c r="C639" s="31"/>
    </row>
    <row r="640" spans="3:3" x14ac:dyDescent="0.35">
      <c r="C640" s="31"/>
    </row>
    <row r="641" spans="3:3" x14ac:dyDescent="0.35">
      <c r="C641" s="31"/>
    </row>
    <row r="642" spans="3:3" x14ac:dyDescent="0.35">
      <c r="C642" s="31"/>
    </row>
    <row r="643" spans="3:3" x14ac:dyDescent="0.35">
      <c r="C643" s="31"/>
    </row>
    <row r="644" spans="3:3" x14ac:dyDescent="0.35">
      <c r="C644" s="31"/>
    </row>
    <row r="645" spans="3:3" x14ac:dyDescent="0.35">
      <c r="C645" s="31"/>
    </row>
    <row r="646" spans="3:3" x14ac:dyDescent="0.35">
      <c r="C646" s="31"/>
    </row>
    <row r="647" spans="3:3" x14ac:dyDescent="0.35">
      <c r="C647" s="31"/>
    </row>
    <row r="648" spans="3:3" x14ac:dyDescent="0.35">
      <c r="C648" s="31"/>
    </row>
    <row r="649" spans="3:3" x14ac:dyDescent="0.35">
      <c r="C649" s="31"/>
    </row>
    <row r="650" spans="3:3" x14ac:dyDescent="0.35">
      <c r="C650" s="31"/>
    </row>
    <row r="651" spans="3:3" x14ac:dyDescent="0.35">
      <c r="C651" s="31"/>
    </row>
    <row r="652" spans="3:3" x14ac:dyDescent="0.35">
      <c r="C652" s="31"/>
    </row>
    <row r="653" spans="3:3" x14ac:dyDescent="0.35">
      <c r="C653" s="31"/>
    </row>
    <row r="654" spans="3:3" x14ac:dyDescent="0.35">
      <c r="C654" s="31"/>
    </row>
    <row r="655" spans="3:3" x14ac:dyDescent="0.35">
      <c r="C655" s="31"/>
    </row>
    <row r="656" spans="3:3" x14ac:dyDescent="0.35">
      <c r="C656" s="31"/>
    </row>
    <row r="657" spans="3:3" x14ac:dyDescent="0.35">
      <c r="C657" s="31"/>
    </row>
    <row r="658" spans="3:3" x14ac:dyDescent="0.35">
      <c r="C658" s="31"/>
    </row>
    <row r="659" spans="3:3" x14ac:dyDescent="0.35">
      <c r="C659" s="31"/>
    </row>
    <row r="660" spans="3:3" x14ac:dyDescent="0.35">
      <c r="C660" s="31"/>
    </row>
    <row r="661" spans="3:3" x14ac:dyDescent="0.35">
      <c r="C661" s="31"/>
    </row>
    <row r="662" spans="3:3" x14ac:dyDescent="0.35">
      <c r="C662" s="31"/>
    </row>
    <row r="663" spans="3:3" x14ac:dyDescent="0.35">
      <c r="C663" s="31"/>
    </row>
    <row r="664" spans="3:3" x14ac:dyDescent="0.35">
      <c r="C664" s="31"/>
    </row>
    <row r="665" spans="3:3" x14ac:dyDescent="0.35">
      <c r="C665" s="31"/>
    </row>
    <row r="666" spans="3:3" x14ac:dyDescent="0.35">
      <c r="C666" s="31"/>
    </row>
    <row r="667" spans="3:3" x14ac:dyDescent="0.35">
      <c r="C667" s="31"/>
    </row>
    <row r="668" spans="3:3" x14ac:dyDescent="0.35">
      <c r="C668" s="31"/>
    </row>
    <row r="669" spans="3:3" x14ac:dyDescent="0.35">
      <c r="C669" s="31"/>
    </row>
    <row r="670" spans="3:3" x14ac:dyDescent="0.35">
      <c r="C670" s="31"/>
    </row>
    <row r="671" spans="3:3" x14ac:dyDescent="0.35">
      <c r="C671" s="31"/>
    </row>
    <row r="672" spans="3:3" x14ac:dyDescent="0.35">
      <c r="C672" s="31"/>
    </row>
    <row r="673" spans="3:3" x14ac:dyDescent="0.35">
      <c r="C673" s="31"/>
    </row>
    <row r="674" spans="3:3" x14ac:dyDescent="0.35">
      <c r="C674" s="31"/>
    </row>
    <row r="675" spans="3:3" x14ac:dyDescent="0.35">
      <c r="C675" s="31"/>
    </row>
    <row r="676" spans="3:3" x14ac:dyDescent="0.35">
      <c r="C676" s="31"/>
    </row>
    <row r="677" spans="3:3" x14ac:dyDescent="0.35">
      <c r="C677" s="31"/>
    </row>
    <row r="678" spans="3:3" x14ac:dyDescent="0.35">
      <c r="C678" s="31"/>
    </row>
    <row r="679" spans="3:3" x14ac:dyDescent="0.35">
      <c r="C679" s="31"/>
    </row>
    <row r="680" spans="3:3" x14ac:dyDescent="0.35">
      <c r="C680" s="31"/>
    </row>
    <row r="681" spans="3:3" x14ac:dyDescent="0.35">
      <c r="C681" s="31"/>
    </row>
    <row r="682" spans="3:3" x14ac:dyDescent="0.35">
      <c r="C682" s="31"/>
    </row>
    <row r="683" spans="3:3" x14ac:dyDescent="0.35">
      <c r="C683" s="31"/>
    </row>
    <row r="684" spans="3:3" x14ac:dyDescent="0.35">
      <c r="C684" s="31"/>
    </row>
    <row r="685" spans="3:3" x14ac:dyDescent="0.35">
      <c r="C685" s="31"/>
    </row>
    <row r="686" spans="3:3" x14ac:dyDescent="0.35">
      <c r="C686" s="31"/>
    </row>
    <row r="687" spans="3:3" x14ac:dyDescent="0.35">
      <c r="C687" s="31"/>
    </row>
    <row r="688" spans="3:3" x14ac:dyDescent="0.35">
      <c r="C688" s="31"/>
    </row>
    <row r="689" spans="3:3" x14ac:dyDescent="0.35">
      <c r="C689" s="31"/>
    </row>
    <row r="690" spans="3:3" x14ac:dyDescent="0.35">
      <c r="C690" s="31"/>
    </row>
    <row r="691" spans="3:3" x14ac:dyDescent="0.35">
      <c r="C691" s="31"/>
    </row>
    <row r="692" spans="3:3" x14ac:dyDescent="0.35">
      <c r="C692" s="31"/>
    </row>
    <row r="693" spans="3:3" x14ac:dyDescent="0.35">
      <c r="C693" s="31"/>
    </row>
    <row r="694" spans="3:3" x14ac:dyDescent="0.35">
      <c r="C694" s="31"/>
    </row>
    <row r="695" spans="3:3" x14ac:dyDescent="0.35">
      <c r="C695" s="31"/>
    </row>
    <row r="696" spans="3:3" x14ac:dyDescent="0.35">
      <c r="C696" s="31"/>
    </row>
    <row r="697" spans="3:3" x14ac:dyDescent="0.35">
      <c r="C697" s="31"/>
    </row>
    <row r="698" spans="3:3" x14ac:dyDescent="0.35">
      <c r="C698" s="31"/>
    </row>
    <row r="699" spans="3:3" x14ac:dyDescent="0.35">
      <c r="C699" s="31"/>
    </row>
    <row r="700" spans="3:3" x14ac:dyDescent="0.35">
      <c r="C700" s="31"/>
    </row>
    <row r="701" spans="3:3" x14ac:dyDescent="0.35">
      <c r="C701" s="31"/>
    </row>
    <row r="702" spans="3:3" x14ac:dyDescent="0.35">
      <c r="C702" s="31"/>
    </row>
    <row r="703" spans="3:3" x14ac:dyDescent="0.35">
      <c r="C703" s="31"/>
    </row>
    <row r="704" spans="3:3" x14ac:dyDescent="0.35">
      <c r="C704" s="31"/>
    </row>
    <row r="705" spans="3:3" x14ac:dyDescent="0.35">
      <c r="C705" s="31"/>
    </row>
    <row r="706" spans="3:3" x14ac:dyDescent="0.35">
      <c r="C706" s="31"/>
    </row>
    <row r="707" spans="3:3" x14ac:dyDescent="0.35">
      <c r="C707" s="31"/>
    </row>
    <row r="708" spans="3:3" x14ac:dyDescent="0.35">
      <c r="C708" s="31"/>
    </row>
    <row r="709" spans="3:3" x14ac:dyDescent="0.35">
      <c r="C709" s="31"/>
    </row>
    <row r="710" spans="3:3" x14ac:dyDescent="0.35">
      <c r="C710" s="31"/>
    </row>
    <row r="711" spans="3:3" x14ac:dyDescent="0.35">
      <c r="C711" s="31"/>
    </row>
    <row r="712" spans="3:3" x14ac:dyDescent="0.35">
      <c r="C712" s="31"/>
    </row>
    <row r="713" spans="3:3" x14ac:dyDescent="0.35">
      <c r="C713" s="31"/>
    </row>
    <row r="714" spans="3:3" x14ac:dyDescent="0.35">
      <c r="C714" s="31"/>
    </row>
    <row r="715" spans="3:3" x14ac:dyDescent="0.35">
      <c r="C715" s="31"/>
    </row>
    <row r="716" spans="3:3" x14ac:dyDescent="0.35">
      <c r="C716" s="31"/>
    </row>
    <row r="717" spans="3:3" x14ac:dyDescent="0.35">
      <c r="C717" s="31"/>
    </row>
    <row r="718" spans="3:3" x14ac:dyDescent="0.35">
      <c r="C718" s="31"/>
    </row>
    <row r="719" spans="3:3" x14ac:dyDescent="0.35">
      <c r="C719" s="31"/>
    </row>
    <row r="720" spans="3:3" x14ac:dyDescent="0.35">
      <c r="C720" s="31"/>
    </row>
    <row r="721" spans="3:3" x14ac:dyDescent="0.35">
      <c r="C721" s="31"/>
    </row>
    <row r="722" spans="3:3" x14ac:dyDescent="0.35">
      <c r="C722" s="31"/>
    </row>
    <row r="723" spans="3:3" x14ac:dyDescent="0.35">
      <c r="C723" s="31"/>
    </row>
    <row r="724" spans="3:3" x14ac:dyDescent="0.35">
      <c r="C724" s="31"/>
    </row>
    <row r="725" spans="3:3" x14ac:dyDescent="0.35">
      <c r="C725" s="31"/>
    </row>
    <row r="726" spans="3:3" x14ac:dyDescent="0.35">
      <c r="C726" s="31"/>
    </row>
    <row r="727" spans="3:3" x14ac:dyDescent="0.35">
      <c r="C727" s="31"/>
    </row>
    <row r="728" spans="3:3" x14ac:dyDescent="0.35">
      <c r="C728" s="31"/>
    </row>
    <row r="729" spans="3:3" x14ac:dyDescent="0.35">
      <c r="C729" s="31"/>
    </row>
    <row r="730" spans="3:3" x14ac:dyDescent="0.35">
      <c r="C730" s="31"/>
    </row>
    <row r="731" spans="3:3" x14ac:dyDescent="0.35">
      <c r="C731" s="31"/>
    </row>
    <row r="732" spans="3:3" x14ac:dyDescent="0.35">
      <c r="C732" s="31"/>
    </row>
    <row r="733" spans="3:3" x14ac:dyDescent="0.35">
      <c r="C733" s="31"/>
    </row>
    <row r="734" spans="3:3" x14ac:dyDescent="0.35">
      <c r="C734" s="31"/>
    </row>
    <row r="735" spans="3:3" x14ac:dyDescent="0.35">
      <c r="C735" s="31"/>
    </row>
    <row r="736" spans="3:3" x14ac:dyDescent="0.35">
      <c r="C736" s="31"/>
    </row>
    <row r="737" spans="3:3" x14ac:dyDescent="0.35">
      <c r="C737" s="31"/>
    </row>
    <row r="738" spans="3:3" x14ac:dyDescent="0.35">
      <c r="C738" s="31"/>
    </row>
    <row r="739" spans="3:3" x14ac:dyDescent="0.35">
      <c r="C739" s="31"/>
    </row>
    <row r="740" spans="3:3" x14ac:dyDescent="0.35">
      <c r="C740" s="31"/>
    </row>
    <row r="741" spans="3:3" x14ac:dyDescent="0.35">
      <c r="C741" s="31"/>
    </row>
    <row r="742" spans="3:3" x14ac:dyDescent="0.35">
      <c r="C742" s="31"/>
    </row>
    <row r="743" spans="3:3" x14ac:dyDescent="0.35">
      <c r="C743" s="31"/>
    </row>
    <row r="744" spans="3:3" x14ac:dyDescent="0.35">
      <c r="C744" s="31"/>
    </row>
    <row r="745" spans="3:3" x14ac:dyDescent="0.35">
      <c r="C745" s="31"/>
    </row>
    <row r="746" spans="3:3" x14ac:dyDescent="0.35">
      <c r="C746" s="31"/>
    </row>
    <row r="747" spans="3:3" x14ac:dyDescent="0.35">
      <c r="C747" s="31"/>
    </row>
    <row r="748" spans="3:3" x14ac:dyDescent="0.35">
      <c r="C748" s="31"/>
    </row>
    <row r="749" spans="3:3" x14ac:dyDescent="0.35">
      <c r="C749" s="31"/>
    </row>
    <row r="750" spans="3:3" x14ac:dyDescent="0.35">
      <c r="C750" s="31"/>
    </row>
    <row r="751" spans="3:3" x14ac:dyDescent="0.35">
      <c r="C751" s="31"/>
    </row>
    <row r="752" spans="3:3" x14ac:dyDescent="0.35">
      <c r="C752" s="31"/>
    </row>
    <row r="753" spans="3:3" x14ac:dyDescent="0.35">
      <c r="C753" s="31"/>
    </row>
    <row r="754" spans="3:3" x14ac:dyDescent="0.35">
      <c r="C754" s="31"/>
    </row>
    <row r="755" spans="3:3" x14ac:dyDescent="0.35">
      <c r="C755" s="31"/>
    </row>
    <row r="756" spans="3:3" x14ac:dyDescent="0.35">
      <c r="C756" s="31"/>
    </row>
    <row r="757" spans="3:3" x14ac:dyDescent="0.35">
      <c r="C757" s="31"/>
    </row>
    <row r="758" spans="3:3" x14ac:dyDescent="0.35">
      <c r="C758" s="31"/>
    </row>
    <row r="759" spans="3:3" x14ac:dyDescent="0.35">
      <c r="C759" s="31"/>
    </row>
    <row r="760" spans="3:3" x14ac:dyDescent="0.35">
      <c r="C760" s="31"/>
    </row>
    <row r="761" spans="3:3" x14ac:dyDescent="0.35">
      <c r="C761" s="31"/>
    </row>
    <row r="762" spans="3:3" x14ac:dyDescent="0.35">
      <c r="C762" s="31"/>
    </row>
    <row r="763" spans="3:3" x14ac:dyDescent="0.35">
      <c r="C763" s="31"/>
    </row>
    <row r="764" spans="3:3" x14ac:dyDescent="0.35">
      <c r="C764" s="31"/>
    </row>
    <row r="765" spans="3:3" x14ac:dyDescent="0.35">
      <c r="C765" s="31"/>
    </row>
    <row r="766" spans="3:3" x14ac:dyDescent="0.35">
      <c r="C766" s="31"/>
    </row>
    <row r="767" spans="3:3" x14ac:dyDescent="0.35">
      <c r="C767" s="31"/>
    </row>
    <row r="768" spans="3:3" x14ac:dyDescent="0.35">
      <c r="C768" s="31"/>
    </row>
    <row r="769" spans="3:3" x14ac:dyDescent="0.35">
      <c r="C769" s="31"/>
    </row>
    <row r="770" spans="3:3" x14ac:dyDescent="0.35">
      <c r="C770" s="31"/>
    </row>
    <row r="771" spans="3:3" x14ac:dyDescent="0.35">
      <c r="C771" s="31"/>
    </row>
    <row r="772" spans="3:3" x14ac:dyDescent="0.35">
      <c r="C772" s="31"/>
    </row>
    <row r="773" spans="3:3" x14ac:dyDescent="0.35">
      <c r="C773" s="31"/>
    </row>
    <row r="774" spans="3:3" x14ac:dyDescent="0.35">
      <c r="C774" s="31"/>
    </row>
    <row r="775" spans="3:3" x14ac:dyDescent="0.35">
      <c r="C775" s="31"/>
    </row>
    <row r="776" spans="3:3" x14ac:dyDescent="0.35">
      <c r="C776" s="31"/>
    </row>
    <row r="777" spans="3:3" x14ac:dyDescent="0.35">
      <c r="C777" s="31"/>
    </row>
    <row r="778" spans="3:3" x14ac:dyDescent="0.35">
      <c r="C778" s="31"/>
    </row>
    <row r="779" spans="3:3" x14ac:dyDescent="0.35">
      <c r="C779" s="31"/>
    </row>
    <row r="780" spans="3:3" x14ac:dyDescent="0.35">
      <c r="C780" s="31"/>
    </row>
    <row r="781" spans="3:3" x14ac:dyDescent="0.35">
      <c r="C781" s="31"/>
    </row>
    <row r="782" spans="3:3" x14ac:dyDescent="0.35">
      <c r="C782" s="31"/>
    </row>
    <row r="783" spans="3:3" x14ac:dyDescent="0.35">
      <c r="C783" s="31"/>
    </row>
    <row r="784" spans="3:3" x14ac:dyDescent="0.35">
      <c r="C784" s="31"/>
    </row>
    <row r="785" spans="3:3" x14ac:dyDescent="0.35">
      <c r="C785" s="31"/>
    </row>
    <row r="786" spans="3:3" x14ac:dyDescent="0.35">
      <c r="C786" s="31"/>
    </row>
    <row r="787" spans="3:3" x14ac:dyDescent="0.35">
      <c r="C787" s="31"/>
    </row>
    <row r="788" spans="3:3" x14ac:dyDescent="0.35">
      <c r="C788" s="31"/>
    </row>
    <row r="789" spans="3:3" x14ac:dyDescent="0.35">
      <c r="C789" s="31"/>
    </row>
    <row r="790" spans="3:3" x14ac:dyDescent="0.35">
      <c r="C790" s="31"/>
    </row>
    <row r="791" spans="3:3" x14ac:dyDescent="0.35">
      <c r="C791" s="31"/>
    </row>
    <row r="792" spans="3:3" x14ac:dyDescent="0.35">
      <c r="C792" s="31"/>
    </row>
    <row r="793" spans="3:3" x14ac:dyDescent="0.35">
      <c r="C793" s="31"/>
    </row>
    <row r="794" spans="3:3" x14ac:dyDescent="0.35">
      <c r="C794" s="31"/>
    </row>
    <row r="795" spans="3:3" x14ac:dyDescent="0.35">
      <c r="C795" s="31"/>
    </row>
    <row r="796" spans="3:3" x14ac:dyDescent="0.35">
      <c r="C796" s="31"/>
    </row>
    <row r="797" spans="3:3" x14ac:dyDescent="0.35">
      <c r="C797" s="31"/>
    </row>
    <row r="798" spans="3:3" x14ac:dyDescent="0.35">
      <c r="C798" s="31"/>
    </row>
    <row r="799" spans="3:3" x14ac:dyDescent="0.35">
      <c r="C799" s="31"/>
    </row>
    <row r="800" spans="3:3" x14ac:dyDescent="0.35">
      <c r="C800" s="31"/>
    </row>
    <row r="801" spans="3:3" x14ac:dyDescent="0.35">
      <c r="C801" s="31"/>
    </row>
    <row r="802" spans="3:3" x14ac:dyDescent="0.35">
      <c r="C802" s="31"/>
    </row>
    <row r="803" spans="3:3" x14ac:dyDescent="0.35">
      <c r="C803" s="31"/>
    </row>
    <row r="804" spans="3:3" x14ac:dyDescent="0.35">
      <c r="C804" s="31"/>
    </row>
    <row r="805" spans="3:3" x14ac:dyDescent="0.35">
      <c r="C805" s="31"/>
    </row>
    <row r="806" spans="3:3" x14ac:dyDescent="0.35">
      <c r="C806" s="31"/>
    </row>
    <row r="807" spans="3:3" x14ac:dyDescent="0.35">
      <c r="C807" s="31"/>
    </row>
    <row r="808" spans="3:3" x14ac:dyDescent="0.35">
      <c r="C808" s="31"/>
    </row>
    <row r="809" spans="3:3" x14ac:dyDescent="0.35">
      <c r="C809" s="31"/>
    </row>
    <row r="810" spans="3:3" x14ac:dyDescent="0.35">
      <c r="C810" s="31"/>
    </row>
    <row r="811" spans="3:3" x14ac:dyDescent="0.35">
      <c r="C811" s="31"/>
    </row>
    <row r="812" spans="3:3" x14ac:dyDescent="0.35">
      <c r="C812" s="31"/>
    </row>
    <row r="813" spans="3:3" x14ac:dyDescent="0.35">
      <c r="C813" s="31"/>
    </row>
    <row r="814" spans="3:3" x14ac:dyDescent="0.35">
      <c r="C814" s="31"/>
    </row>
    <row r="815" spans="3:3" x14ac:dyDescent="0.35">
      <c r="C815" s="31"/>
    </row>
    <row r="816" spans="3:3" x14ac:dyDescent="0.35">
      <c r="C816" s="31"/>
    </row>
    <row r="817" spans="3:3" x14ac:dyDescent="0.35">
      <c r="C817" s="31"/>
    </row>
    <row r="818" spans="3:3" x14ac:dyDescent="0.35">
      <c r="C818" s="31"/>
    </row>
    <row r="819" spans="3:3" x14ac:dyDescent="0.35">
      <c r="C819" s="31"/>
    </row>
    <row r="820" spans="3:3" x14ac:dyDescent="0.35">
      <c r="C820" s="31"/>
    </row>
    <row r="821" spans="3:3" x14ac:dyDescent="0.35">
      <c r="C821" s="31"/>
    </row>
    <row r="822" spans="3:3" x14ac:dyDescent="0.35">
      <c r="C822" s="31"/>
    </row>
    <row r="823" spans="3:3" x14ac:dyDescent="0.35">
      <c r="C823" s="31"/>
    </row>
    <row r="824" spans="3:3" x14ac:dyDescent="0.35">
      <c r="C824" s="31"/>
    </row>
    <row r="825" spans="3:3" x14ac:dyDescent="0.35">
      <c r="C825" s="31"/>
    </row>
    <row r="826" spans="3:3" x14ac:dyDescent="0.35">
      <c r="C826" s="31"/>
    </row>
    <row r="827" spans="3:3" x14ac:dyDescent="0.35">
      <c r="C827" s="31"/>
    </row>
    <row r="828" spans="3:3" x14ac:dyDescent="0.35">
      <c r="C828" s="31"/>
    </row>
    <row r="829" spans="3:3" x14ac:dyDescent="0.35">
      <c r="C829" s="31"/>
    </row>
    <row r="830" spans="3:3" x14ac:dyDescent="0.35">
      <c r="C830" s="31"/>
    </row>
    <row r="831" spans="3:3" x14ac:dyDescent="0.35">
      <c r="C831" s="31"/>
    </row>
    <row r="832" spans="3:3" x14ac:dyDescent="0.35">
      <c r="C832" s="31"/>
    </row>
    <row r="833" spans="3:3" x14ac:dyDescent="0.35">
      <c r="C833" s="31"/>
    </row>
    <row r="834" spans="3:3" x14ac:dyDescent="0.35">
      <c r="C834" s="31"/>
    </row>
    <row r="835" spans="3:3" x14ac:dyDescent="0.35">
      <c r="C835" s="31"/>
    </row>
    <row r="836" spans="3:3" x14ac:dyDescent="0.35">
      <c r="C836" s="31"/>
    </row>
    <row r="837" spans="3:3" x14ac:dyDescent="0.35">
      <c r="C837" s="31"/>
    </row>
    <row r="838" spans="3:3" x14ac:dyDescent="0.35">
      <c r="C838" s="31"/>
    </row>
    <row r="839" spans="3:3" x14ac:dyDescent="0.35">
      <c r="C839" s="31"/>
    </row>
    <row r="840" spans="3:3" x14ac:dyDescent="0.35">
      <c r="C840" s="31"/>
    </row>
    <row r="841" spans="3:3" x14ac:dyDescent="0.35">
      <c r="C841" s="31"/>
    </row>
    <row r="842" spans="3:3" x14ac:dyDescent="0.35">
      <c r="C842" s="31"/>
    </row>
    <row r="843" spans="3:3" x14ac:dyDescent="0.35">
      <c r="C843" s="31"/>
    </row>
    <row r="844" spans="3:3" x14ac:dyDescent="0.35">
      <c r="C844" s="31"/>
    </row>
    <row r="845" spans="3:3" x14ac:dyDescent="0.35">
      <c r="C845" s="31"/>
    </row>
    <row r="846" spans="3:3" x14ac:dyDescent="0.35">
      <c r="C846" s="31"/>
    </row>
    <row r="847" spans="3:3" x14ac:dyDescent="0.35">
      <c r="C847" s="31"/>
    </row>
    <row r="848" spans="3:3" x14ac:dyDescent="0.35">
      <c r="C848" s="31"/>
    </row>
    <row r="849" spans="3:3" x14ac:dyDescent="0.35">
      <c r="C849" s="31"/>
    </row>
    <row r="850" spans="3:3" x14ac:dyDescent="0.35">
      <c r="C850" s="31"/>
    </row>
    <row r="851" spans="3:3" x14ac:dyDescent="0.35">
      <c r="C851" s="31"/>
    </row>
    <row r="852" spans="3:3" x14ac:dyDescent="0.35">
      <c r="C852" s="31"/>
    </row>
    <row r="853" spans="3:3" x14ac:dyDescent="0.35">
      <c r="C853" s="31"/>
    </row>
    <row r="854" spans="3:3" x14ac:dyDescent="0.35">
      <c r="C854" s="31"/>
    </row>
    <row r="855" spans="3:3" x14ac:dyDescent="0.35">
      <c r="C855" s="31"/>
    </row>
    <row r="856" spans="3:3" x14ac:dyDescent="0.35">
      <c r="C856" s="31"/>
    </row>
    <row r="857" spans="3:3" x14ac:dyDescent="0.35">
      <c r="C857" s="31"/>
    </row>
    <row r="858" spans="3:3" x14ac:dyDescent="0.35">
      <c r="C858" s="31"/>
    </row>
    <row r="859" spans="3:3" x14ac:dyDescent="0.35">
      <c r="C859" s="31"/>
    </row>
    <row r="860" spans="3:3" x14ac:dyDescent="0.35">
      <c r="C860" s="31"/>
    </row>
    <row r="861" spans="3:3" x14ac:dyDescent="0.35">
      <c r="C861" s="31"/>
    </row>
    <row r="862" spans="3:3" x14ac:dyDescent="0.35">
      <c r="C862" s="31"/>
    </row>
    <row r="863" spans="3:3" x14ac:dyDescent="0.35">
      <c r="C863" s="31"/>
    </row>
    <row r="864" spans="3:3" x14ac:dyDescent="0.35">
      <c r="C864" s="31"/>
    </row>
    <row r="865" spans="3:3" x14ac:dyDescent="0.35">
      <c r="C865" s="31"/>
    </row>
    <row r="866" spans="3:3" x14ac:dyDescent="0.35">
      <c r="C866" s="31"/>
    </row>
    <row r="867" spans="3:3" x14ac:dyDescent="0.35">
      <c r="C867" s="31"/>
    </row>
    <row r="868" spans="3:3" x14ac:dyDescent="0.35">
      <c r="C868" s="31"/>
    </row>
    <row r="869" spans="3:3" x14ac:dyDescent="0.35">
      <c r="C869" s="31"/>
    </row>
    <row r="870" spans="3:3" x14ac:dyDescent="0.35">
      <c r="C870" s="31"/>
    </row>
    <row r="871" spans="3:3" x14ac:dyDescent="0.35">
      <c r="C871" s="31"/>
    </row>
    <row r="872" spans="3:3" x14ac:dyDescent="0.35">
      <c r="C872" s="31"/>
    </row>
    <row r="873" spans="3:3" x14ac:dyDescent="0.35">
      <c r="C873" s="31"/>
    </row>
    <row r="874" spans="3:3" x14ac:dyDescent="0.35">
      <c r="C874" s="31"/>
    </row>
    <row r="875" spans="3:3" x14ac:dyDescent="0.35">
      <c r="C875" s="31"/>
    </row>
    <row r="876" spans="3:3" x14ac:dyDescent="0.35">
      <c r="C876" s="31"/>
    </row>
    <row r="877" spans="3:3" x14ac:dyDescent="0.35">
      <c r="C877" s="31"/>
    </row>
    <row r="878" spans="3:3" x14ac:dyDescent="0.35">
      <c r="C878" s="31"/>
    </row>
    <row r="879" spans="3:3" x14ac:dyDescent="0.35">
      <c r="C879" s="31"/>
    </row>
    <row r="880" spans="3:3" x14ac:dyDescent="0.35">
      <c r="C880" s="31"/>
    </row>
    <row r="881" spans="3:3" x14ac:dyDescent="0.35">
      <c r="C881" s="31"/>
    </row>
    <row r="882" spans="3:3" x14ac:dyDescent="0.35">
      <c r="C882" s="31"/>
    </row>
    <row r="883" spans="3:3" x14ac:dyDescent="0.35">
      <c r="C883" s="31"/>
    </row>
    <row r="884" spans="3:3" x14ac:dyDescent="0.35">
      <c r="C884" s="31"/>
    </row>
    <row r="885" spans="3:3" x14ac:dyDescent="0.35">
      <c r="C885" s="31"/>
    </row>
    <row r="886" spans="3:3" x14ac:dyDescent="0.35">
      <c r="C886" s="31"/>
    </row>
    <row r="887" spans="3:3" x14ac:dyDescent="0.35">
      <c r="C887" s="31"/>
    </row>
    <row r="888" spans="3:3" x14ac:dyDescent="0.35">
      <c r="C888" s="31"/>
    </row>
    <row r="889" spans="3:3" x14ac:dyDescent="0.35">
      <c r="C889" s="31"/>
    </row>
    <row r="890" spans="3:3" x14ac:dyDescent="0.35">
      <c r="C890" s="31"/>
    </row>
    <row r="891" spans="3:3" x14ac:dyDescent="0.35">
      <c r="C891" s="31"/>
    </row>
    <row r="892" spans="3:3" x14ac:dyDescent="0.35">
      <c r="C892" s="31"/>
    </row>
    <row r="893" spans="3:3" x14ac:dyDescent="0.35">
      <c r="C893" s="31"/>
    </row>
    <row r="894" spans="3:3" x14ac:dyDescent="0.35">
      <c r="C894" s="31"/>
    </row>
    <row r="895" spans="3:3" x14ac:dyDescent="0.35">
      <c r="C895" s="31"/>
    </row>
    <row r="896" spans="3:3" x14ac:dyDescent="0.35">
      <c r="C896" s="31"/>
    </row>
    <row r="897" spans="3:3" x14ac:dyDescent="0.35">
      <c r="C897" s="31"/>
    </row>
    <row r="898" spans="3:3" x14ac:dyDescent="0.35">
      <c r="C898" s="31"/>
    </row>
    <row r="899" spans="3:3" x14ac:dyDescent="0.35">
      <c r="C899" s="31"/>
    </row>
    <row r="900" spans="3:3" x14ac:dyDescent="0.35">
      <c r="C900" s="31"/>
    </row>
    <row r="901" spans="3:3" x14ac:dyDescent="0.35">
      <c r="C901" s="31"/>
    </row>
    <row r="902" spans="3:3" x14ac:dyDescent="0.35">
      <c r="C902" s="31"/>
    </row>
    <row r="903" spans="3:3" x14ac:dyDescent="0.35">
      <c r="C903" s="31"/>
    </row>
    <row r="904" spans="3:3" x14ac:dyDescent="0.35">
      <c r="C904" s="31"/>
    </row>
    <row r="905" spans="3:3" x14ac:dyDescent="0.35">
      <c r="C905" s="31"/>
    </row>
    <row r="906" spans="3:3" x14ac:dyDescent="0.35">
      <c r="C906" s="31"/>
    </row>
    <row r="907" spans="3:3" x14ac:dyDescent="0.35">
      <c r="C907" s="31"/>
    </row>
    <row r="908" spans="3:3" x14ac:dyDescent="0.35">
      <c r="C908" s="31"/>
    </row>
    <row r="909" spans="3:3" x14ac:dyDescent="0.35">
      <c r="C909" s="31"/>
    </row>
    <row r="910" spans="3:3" x14ac:dyDescent="0.35">
      <c r="C910" s="31"/>
    </row>
    <row r="911" spans="3:3" x14ac:dyDescent="0.35">
      <c r="C911" s="31"/>
    </row>
    <row r="912" spans="3:3" x14ac:dyDescent="0.35">
      <c r="C912" s="31"/>
    </row>
    <row r="913" spans="3:3" x14ac:dyDescent="0.35">
      <c r="C913" s="31"/>
    </row>
    <row r="914" spans="3:3" x14ac:dyDescent="0.35">
      <c r="C914" s="31"/>
    </row>
    <row r="915" spans="3:3" x14ac:dyDescent="0.35">
      <c r="C915" s="31"/>
    </row>
    <row r="916" spans="3:3" x14ac:dyDescent="0.35">
      <c r="C916" s="31"/>
    </row>
    <row r="917" spans="3:3" x14ac:dyDescent="0.35">
      <c r="C917" s="31"/>
    </row>
    <row r="918" spans="3:3" x14ac:dyDescent="0.35">
      <c r="C918" s="31"/>
    </row>
    <row r="919" spans="3:3" x14ac:dyDescent="0.35">
      <c r="C919" s="31"/>
    </row>
    <row r="920" spans="3:3" x14ac:dyDescent="0.35">
      <c r="C920" s="31"/>
    </row>
    <row r="921" spans="3:3" x14ac:dyDescent="0.35">
      <c r="C921" s="31"/>
    </row>
    <row r="922" spans="3:3" x14ac:dyDescent="0.35">
      <c r="C922" s="31"/>
    </row>
    <row r="923" spans="3:3" x14ac:dyDescent="0.35">
      <c r="C923" s="31"/>
    </row>
    <row r="924" spans="3:3" x14ac:dyDescent="0.35">
      <c r="C924" s="31"/>
    </row>
    <row r="925" spans="3:3" x14ac:dyDescent="0.35">
      <c r="C925" s="31"/>
    </row>
    <row r="926" spans="3:3" x14ac:dyDescent="0.35">
      <c r="C926" s="31"/>
    </row>
    <row r="927" spans="3:3" x14ac:dyDescent="0.35">
      <c r="C927" s="31"/>
    </row>
    <row r="928" spans="3:3" x14ac:dyDescent="0.35">
      <c r="C928" s="31"/>
    </row>
    <row r="929" spans="3:3" x14ac:dyDescent="0.35">
      <c r="C929" s="31"/>
    </row>
    <row r="930" spans="3:3" x14ac:dyDescent="0.35">
      <c r="C930" s="31"/>
    </row>
    <row r="931" spans="3:3" x14ac:dyDescent="0.35">
      <c r="C931" s="31"/>
    </row>
    <row r="932" spans="3:3" x14ac:dyDescent="0.35">
      <c r="C932" s="31"/>
    </row>
    <row r="933" spans="3:3" x14ac:dyDescent="0.35">
      <c r="C933" s="31"/>
    </row>
    <row r="934" spans="3:3" x14ac:dyDescent="0.35">
      <c r="C934" s="31"/>
    </row>
    <row r="935" spans="3:3" x14ac:dyDescent="0.35">
      <c r="C935" s="31"/>
    </row>
    <row r="936" spans="3:3" x14ac:dyDescent="0.35">
      <c r="C936" s="31"/>
    </row>
    <row r="937" spans="3:3" x14ac:dyDescent="0.35">
      <c r="C937" s="31"/>
    </row>
    <row r="938" spans="3:3" x14ac:dyDescent="0.35">
      <c r="C938" s="31"/>
    </row>
    <row r="939" spans="3:3" x14ac:dyDescent="0.35">
      <c r="C939" s="31"/>
    </row>
    <row r="940" spans="3:3" x14ac:dyDescent="0.35">
      <c r="C940" s="31"/>
    </row>
    <row r="941" spans="3:3" x14ac:dyDescent="0.35">
      <c r="C941" s="31"/>
    </row>
    <row r="942" spans="3:3" x14ac:dyDescent="0.35">
      <c r="C942" s="31"/>
    </row>
    <row r="943" spans="3:3" x14ac:dyDescent="0.35">
      <c r="C943" s="31"/>
    </row>
    <row r="944" spans="3:3" x14ac:dyDescent="0.35">
      <c r="C944" s="31"/>
    </row>
    <row r="945" spans="3:3" x14ac:dyDescent="0.35">
      <c r="C945" s="31"/>
    </row>
    <row r="946" spans="3:3" x14ac:dyDescent="0.35">
      <c r="C946" s="31"/>
    </row>
    <row r="947" spans="3:3" x14ac:dyDescent="0.35">
      <c r="C947" s="31"/>
    </row>
    <row r="948" spans="3:3" x14ac:dyDescent="0.35">
      <c r="C948" s="31"/>
    </row>
    <row r="949" spans="3:3" x14ac:dyDescent="0.35">
      <c r="C949" s="31"/>
    </row>
    <row r="950" spans="3:3" x14ac:dyDescent="0.35">
      <c r="C950" s="31"/>
    </row>
    <row r="951" spans="3:3" x14ac:dyDescent="0.35">
      <c r="C951" s="31"/>
    </row>
    <row r="952" spans="3:3" x14ac:dyDescent="0.35">
      <c r="C952" s="31"/>
    </row>
    <row r="953" spans="3:3" x14ac:dyDescent="0.35">
      <c r="C953" s="31"/>
    </row>
    <row r="954" spans="3:3" x14ac:dyDescent="0.35">
      <c r="C954" s="31"/>
    </row>
    <row r="955" spans="3:3" x14ac:dyDescent="0.35">
      <c r="C955" s="31"/>
    </row>
    <row r="956" spans="3:3" x14ac:dyDescent="0.35">
      <c r="C956" s="31"/>
    </row>
    <row r="957" spans="3:3" x14ac:dyDescent="0.35">
      <c r="C957" s="31"/>
    </row>
    <row r="958" spans="3:3" x14ac:dyDescent="0.35">
      <c r="C958" s="31"/>
    </row>
    <row r="959" spans="3:3" x14ac:dyDescent="0.35">
      <c r="C959" s="31"/>
    </row>
    <row r="960" spans="3:3" x14ac:dyDescent="0.35">
      <c r="C960" s="31"/>
    </row>
    <row r="961" spans="3:3" x14ac:dyDescent="0.35">
      <c r="C961" s="31"/>
    </row>
    <row r="962" spans="3:3" x14ac:dyDescent="0.35">
      <c r="C962" s="31"/>
    </row>
    <row r="963" spans="3:3" x14ac:dyDescent="0.35">
      <c r="C963" s="31"/>
    </row>
    <row r="964" spans="3:3" x14ac:dyDescent="0.35">
      <c r="C964" s="31"/>
    </row>
    <row r="965" spans="3:3" x14ac:dyDescent="0.35">
      <c r="C965" s="31"/>
    </row>
    <row r="966" spans="3:3" x14ac:dyDescent="0.35">
      <c r="C966" s="31"/>
    </row>
    <row r="967" spans="3:3" x14ac:dyDescent="0.35">
      <c r="C967" s="31"/>
    </row>
    <row r="968" spans="3:3" x14ac:dyDescent="0.35">
      <c r="C968" s="31"/>
    </row>
    <row r="969" spans="3:3" x14ac:dyDescent="0.35">
      <c r="C969" s="31"/>
    </row>
    <row r="970" spans="3:3" x14ac:dyDescent="0.35">
      <c r="C970" s="31"/>
    </row>
    <row r="971" spans="3:3" x14ac:dyDescent="0.35">
      <c r="C971" s="31"/>
    </row>
    <row r="972" spans="3:3" x14ac:dyDescent="0.35">
      <c r="C972" s="31"/>
    </row>
    <row r="973" spans="3:3" x14ac:dyDescent="0.35">
      <c r="C973" s="31"/>
    </row>
    <row r="974" spans="3:3" x14ac:dyDescent="0.35">
      <c r="C974" s="31"/>
    </row>
    <row r="975" spans="3:3" x14ac:dyDescent="0.35">
      <c r="C975" s="31"/>
    </row>
    <row r="976" spans="3:3" x14ac:dyDescent="0.35">
      <c r="C976" s="31"/>
    </row>
    <row r="977" spans="3:3" x14ac:dyDescent="0.35">
      <c r="C977" s="31"/>
    </row>
    <row r="978" spans="3:3" x14ac:dyDescent="0.35">
      <c r="C978" s="31"/>
    </row>
    <row r="979" spans="3:3" x14ac:dyDescent="0.35">
      <c r="C979" s="31"/>
    </row>
    <row r="980" spans="3:3" x14ac:dyDescent="0.35">
      <c r="C980" s="31"/>
    </row>
    <row r="981" spans="3:3" x14ac:dyDescent="0.35">
      <c r="C981" s="31"/>
    </row>
    <row r="982" spans="3:3" x14ac:dyDescent="0.35">
      <c r="C982" s="31"/>
    </row>
    <row r="983" spans="3:3" x14ac:dyDescent="0.35">
      <c r="C983" s="31"/>
    </row>
    <row r="984" spans="3:3" x14ac:dyDescent="0.35">
      <c r="C984" s="31"/>
    </row>
    <row r="985" spans="3:3" x14ac:dyDescent="0.35">
      <c r="C985" s="31"/>
    </row>
    <row r="986" spans="3:3" x14ac:dyDescent="0.35">
      <c r="C986" s="31"/>
    </row>
    <row r="987" spans="3:3" x14ac:dyDescent="0.35">
      <c r="C987" s="31"/>
    </row>
    <row r="988" spans="3:3" x14ac:dyDescent="0.35">
      <c r="C988" s="31"/>
    </row>
    <row r="989" spans="3:3" x14ac:dyDescent="0.35">
      <c r="C989" s="31"/>
    </row>
    <row r="990" spans="3:3" x14ac:dyDescent="0.35">
      <c r="C990" s="31"/>
    </row>
    <row r="991" spans="3:3" x14ac:dyDescent="0.35">
      <c r="C991" s="31"/>
    </row>
    <row r="992" spans="3:3" x14ac:dyDescent="0.35">
      <c r="C992" s="31"/>
    </row>
    <row r="993" spans="3:3" x14ac:dyDescent="0.35">
      <c r="C993" s="31"/>
    </row>
    <row r="994" spans="3:3" x14ac:dyDescent="0.35">
      <c r="C994" s="31"/>
    </row>
    <row r="995" spans="3:3" x14ac:dyDescent="0.35">
      <c r="C995" s="31"/>
    </row>
    <row r="996" spans="3:3" x14ac:dyDescent="0.35">
      <c r="C996" s="31"/>
    </row>
    <row r="997" spans="3:3" x14ac:dyDescent="0.35">
      <c r="C997" s="31"/>
    </row>
    <row r="998" spans="3:3" x14ac:dyDescent="0.35">
      <c r="C998" s="31"/>
    </row>
    <row r="999" spans="3:3" x14ac:dyDescent="0.35">
      <c r="C999" s="31"/>
    </row>
    <row r="1000" spans="3:3" x14ac:dyDescent="0.35">
      <c r="C1000" s="31"/>
    </row>
    <row r="1001" spans="3:3" x14ac:dyDescent="0.35">
      <c r="C1001" s="31"/>
    </row>
    <row r="1002" spans="3:3" x14ac:dyDescent="0.35">
      <c r="C1002" s="31"/>
    </row>
    <row r="1003" spans="3:3" x14ac:dyDescent="0.35">
      <c r="C1003" s="31"/>
    </row>
    <row r="1004" spans="3:3" x14ac:dyDescent="0.35">
      <c r="C1004" s="31"/>
    </row>
    <row r="1005" spans="3:3" x14ac:dyDescent="0.35">
      <c r="C1005" s="31"/>
    </row>
    <row r="1006" spans="3:3" x14ac:dyDescent="0.35">
      <c r="C1006" s="31"/>
    </row>
    <row r="1007" spans="3:3" x14ac:dyDescent="0.35">
      <c r="C1007" s="31"/>
    </row>
    <row r="1008" spans="3:3" x14ac:dyDescent="0.35">
      <c r="C1008" s="31"/>
    </row>
    <row r="1009" spans="3:3" x14ac:dyDescent="0.35">
      <c r="C1009" s="31"/>
    </row>
    <row r="1010" spans="3:3" x14ac:dyDescent="0.35">
      <c r="C1010" s="31"/>
    </row>
    <row r="1011" spans="3:3" x14ac:dyDescent="0.35">
      <c r="C1011" s="31"/>
    </row>
    <row r="1012" spans="3:3" x14ac:dyDescent="0.35">
      <c r="C1012" s="31"/>
    </row>
    <row r="1013" spans="3:3" x14ac:dyDescent="0.35">
      <c r="C1013" s="31"/>
    </row>
    <row r="1014" spans="3:3" x14ac:dyDescent="0.35">
      <c r="C1014" s="31"/>
    </row>
    <row r="1015" spans="3:3" x14ac:dyDescent="0.35">
      <c r="C1015" s="31"/>
    </row>
    <row r="1016" spans="3:3" x14ac:dyDescent="0.35">
      <c r="C1016" s="31"/>
    </row>
    <row r="1017" spans="3:3" x14ac:dyDescent="0.35">
      <c r="C1017" s="31"/>
    </row>
    <row r="1018" spans="3:3" x14ac:dyDescent="0.35">
      <c r="C1018" s="31"/>
    </row>
    <row r="1019" spans="3:3" x14ac:dyDescent="0.35">
      <c r="C1019" s="31"/>
    </row>
    <row r="1020" spans="3:3" x14ac:dyDescent="0.35">
      <c r="C1020" s="31"/>
    </row>
    <row r="1021" spans="3:3" x14ac:dyDescent="0.35">
      <c r="C1021" s="31"/>
    </row>
    <row r="1022" spans="3:3" x14ac:dyDescent="0.35">
      <c r="C1022" s="31"/>
    </row>
    <row r="1023" spans="3:3" x14ac:dyDescent="0.35">
      <c r="C1023" s="31"/>
    </row>
    <row r="1024" spans="3:3" x14ac:dyDescent="0.35">
      <c r="C1024" s="31"/>
    </row>
    <row r="1025" spans="3:3" x14ac:dyDescent="0.35">
      <c r="C1025" s="31"/>
    </row>
    <row r="1026" spans="3:3" x14ac:dyDescent="0.35">
      <c r="C1026" s="31"/>
    </row>
    <row r="1027" spans="3:3" x14ac:dyDescent="0.35">
      <c r="C1027" s="31"/>
    </row>
    <row r="1028" spans="3:3" x14ac:dyDescent="0.35">
      <c r="C1028" s="31"/>
    </row>
    <row r="1029" spans="3:3" x14ac:dyDescent="0.35">
      <c r="C1029" s="31"/>
    </row>
    <row r="1030" spans="3:3" x14ac:dyDescent="0.35">
      <c r="C1030" s="31"/>
    </row>
    <row r="1031" spans="3:3" x14ac:dyDescent="0.35">
      <c r="C1031" s="31"/>
    </row>
    <row r="1032" spans="3:3" x14ac:dyDescent="0.35">
      <c r="C1032" s="31"/>
    </row>
    <row r="1033" spans="3:3" x14ac:dyDescent="0.35">
      <c r="C1033" s="31"/>
    </row>
    <row r="1034" spans="3:3" x14ac:dyDescent="0.35">
      <c r="C1034" s="31"/>
    </row>
    <row r="1035" spans="3:3" x14ac:dyDescent="0.35">
      <c r="C1035" s="31"/>
    </row>
    <row r="1036" spans="3:3" x14ac:dyDescent="0.35">
      <c r="C1036" s="31"/>
    </row>
    <row r="1037" spans="3:3" x14ac:dyDescent="0.35">
      <c r="C1037" s="31"/>
    </row>
    <row r="1038" spans="3:3" x14ac:dyDescent="0.35">
      <c r="C1038" s="31"/>
    </row>
    <row r="1039" spans="3:3" x14ac:dyDescent="0.35">
      <c r="C1039" s="31"/>
    </row>
    <row r="1040" spans="3:3" x14ac:dyDescent="0.35">
      <c r="C1040" s="31"/>
    </row>
    <row r="1041" spans="3:3" x14ac:dyDescent="0.35">
      <c r="C1041" s="31"/>
    </row>
    <row r="1042" spans="3:3" x14ac:dyDescent="0.35">
      <c r="C1042" s="31"/>
    </row>
    <row r="1043" spans="3:3" x14ac:dyDescent="0.35">
      <c r="C1043" s="31"/>
    </row>
    <row r="1044" spans="3:3" x14ac:dyDescent="0.35">
      <c r="C1044" s="31"/>
    </row>
    <row r="1045" spans="3:3" x14ac:dyDescent="0.35">
      <c r="C1045" s="31"/>
    </row>
    <row r="1046" spans="3:3" x14ac:dyDescent="0.35">
      <c r="C1046" s="31"/>
    </row>
    <row r="1047" spans="3:3" x14ac:dyDescent="0.35">
      <c r="C1047" s="31"/>
    </row>
    <row r="1048" spans="3:3" x14ac:dyDescent="0.35">
      <c r="C1048" s="31"/>
    </row>
    <row r="1049" spans="3:3" x14ac:dyDescent="0.35">
      <c r="C1049" s="31"/>
    </row>
    <row r="1050" spans="3:3" x14ac:dyDescent="0.35">
      <c r="C1050" s="31"/>
    </row>
    <row r="1051" spans="3:3" x14ac:dyDescent="0.35">
      <c r="C1051" s="31"/>
    </row>
    <row r="1052" spans="3:3" x14ac:dyDescent="0.35">
      <c r="C1052" s="31"/>
    </row>
    <row r="1053" spans="3:3" x14ac:dyDescent="0.35">
      <c r="C1053" s="31"/>
    </row>
    <row r="1054" spans="3:3" x14ac:dyDescent="0.35">
      <c r="C1054" s="31"/>
    </row>
    <row r="1055" spans="3:3" x14ac:dyDescent="0.35">
      <c r="C1055" s="31"/>
    </row>
    <row r="1056" spans="3:3" x14ac:dyDescent="0.35">
      <c r="C1056" s="31"/>
    </row>
    <row r="1057" spans="3:3" x14ac:dyDescent="0.35">
      <c r="C1057" s="31"/>
    </row>
    <row r="1058" spans="3:3" x14ac:dyDescent="0.35">
      <c r="C1058" s="31"/>
    </row>
    <row r="1059" spans="3:3" x14ac:dyDescent="0.35">
      <c r="C1059" s="31"/>
    </row>
    <row r="1060" spans="3:3" x14ac:dyDescent="0.35">
      <c r="C1060" s="31"/>
    </row>
    <row r="1061" spans="3:3" x14ac:dyDescent="0.35">
      <c r="C1061" s="31"/>
    </row>
    <row r="1062" spans="3:3" x14ac:dyDescent="0.35">
      <c r="C1062" s="31"/>
    </row>
    <row r="1063" spans="3:3" x14ac:dyDescent="0.35">
      <c r="C1063" s="31"/>
    </row>
    <row r="1064" spans="3:3" x14ac:dyDescent="0.35">
      <c r="C1064" s="31"/>
    </row>
    <row r="1065" spans="3:3" x14ac:dyDescent="0.35">
      <c r="C1065" s="31"/>
    </row>
    <row r="1066" spans="3:3" x14ac:dyDescent="0.35">
      <c r="C1066" s="31"/>
    </row>
    <row r="1067" spans="3:3" x14ac:dyDescent="0.35">
      <c r="C1067" s="31"/>
    </row>
    <row r="1068" spans="3:3" x14ac:dyDescent="0.35">
      <c r="C1068" s="31"/>
    </row>
    <row r="1069" spans="3:3" x14ac:dyDescent="0.35">
      <c r="C1069" s="31"/>
    </row>
    <row r="1070" spans="3:3" x14ac:dyDescent="0.35">
      <c r="C1070" s="31"/>
    </row>
    <row r="1071" spans="3:3" x14ac:dyDescent="0.35">
      <c r="C1071" s="31"/>
    </row>
    <row r="1072" spans="3:3" x14ac:dyDescent="0.35">
      <c r="C1072" s="31"/>
    </row>
    <row r="1073" spans="3:3" x14ac:dyDescent="0.35">
      <c r="C1073" s="31"/>
    </row>
    <row r="1074" spans="3:3" x14ac:dyDescent="0.35">
      <c r="C1074" s="31"/>
    </row>
    <row r="1075" spans="3:3" x14ac:dyDescent="0.35">
      <c r="C1075" s="31"/>
    </row>
    <row r="1076" spans="3:3" x14ac:dyDescent="0.35">
      <c r="C1076" s="31"/>
    </row>
    <row r="1077" spans="3:3" x14ac:dyDescent="0.35">
      <c r="C1077" s="31"/>
    </row>
    <row r="1078" spans="3:3" x14ac:dyDescent="0.35">
      <c r="C1078" s="31"/>
    </row>
    <row r="1079" spans="3:3" x14ac:dyDescent="0.35">
      <c r="C1079" s="31"/>
    </row>
    <row r="1080" spans="3:3" x14ac:dyDescent="0.35">
      <c r="C1080" s="31"/>
    </row>
    <row r="1081" spans="3:3" x14ac:dyDescent="0.35">
      <c r="C1081" s="31"/>
    </row>
    <row r="1082" spans="3:3" x14ac:dyDescent="0.35">
      <c r="C1082" s="31"/>
    </row>
    <row r="1083" spans="3:3" x14ac:dyDescent="0.35">
      <c r="C1083" s="31"/>
    </row>
    <row r="1084" spans="3:3" x14ac:dyDescent="0.35">
      <c r="C1084" s="31"/>
    </row>
    <row r="1085" spans="3:3" x14ac:dyDescent="0.35">
      <c r="C1085" s="31"/>
    </row>
    <row r="1086" spans="3:3" x14ac:dyDescent="0.35">
      <c r="C1086" s="31"/>
    </row>
    <row r="1087" spans="3:3" x14ac:dyDescent="0.35">
      <c r="C1087" s="31"/>
    </row>
    <row r="1088" spans="3:3" x14ac:dyDescent="0.35">
      <c r="C1088" s="31"/>
    </row>
    <row r="1089" spans="3:3" x14ac:dyDescent="0.35">
      <c r="C1089" s="31"/>
    </row>
    <row r="1090" spans="3:3" x14ac:dyDescent="0.35">
      <c r="C1090" s="31"/>
    </row>
    <row r="1091" spans="3:3" x14ac:dyDescent="0.35">
      <c r="C1091" s="31"/>
    </row>
    <row r="1092" spans="3:3" x14ac:dyDescent="0.35">
      <c r="C1092" s="31"/>
    </row>
    <row r="1093" spans="3:3" x14ac:dyDescent="0.35">
      <c r="C1093" s="31"/>
    </row>
    <row r="1094" spans="3:3" x14ac:dyDescent="0.35">
      <c r="C1094" s="31"/>
    </row>
    <row r="1095" spans="3:3" x14ac:dyDescent="0.35">
      <c r="C1095" s="31"/>
    </row>
    <row r="1096" spans="3:3" x14ac:dyDescent="0.35">
      <c r="C1096" s="31"/>
    </row>
    <row r="1097" spans="3:3" x14ac:dyDescent="0.35">
      <c r="C1097" s="31"/>
    </row>
    <row r="1098" spans="3:3" x14ac:dyDescent="0.35">
      <c r="C1098" s="31"/>
    </row>
    <row r="1099" spans="3:3" x14ac:dyDescent="0.35">
      <c r="C1099" s="31"/>
    </row>
    <row r="1100" spans="3:3" x14ac:dyDescent="0.35">
      <c r="C1100" s="31"/>
    </row>
    <row r="1101" spans="3:3" x14ac:dyDescent="0.35">
      <c r="C1101" s="31"/>
    </row>
    <row r="1102" spans="3:3" x14ac:dyDescent="0.35">
      <c r="C1102" s="31"/>
    </row>
    <row r="1103" spans="3:3" x14ac:dyDescent="0.35">
      <c r="C1103" s="31"/>
    </row>
    <row r="1104" spans="3:3" x14ac:dyDescent="0.35">
      <c r="C1104" s="31"/>
    </row>
    <row r="1105" spans="3:3" x14ac:dyDescent="0.35">
      <c r="C1105" s="31"/>
    </row>
    <row r="1106" spans="3:3" x14ac:dyDescent="0.35">
      <c r="C1106" s="31"/>
    </row>
    <row r="1107" spans="3:3" x14ac:dyDescent="0.35">
      <c r="C1107" s="31"/>
    </row>
    <row r="1108" spans="3:3" x14ac:dyDescent="0.35">
      <c r="C1108" s="31"/>
    </row>
    <row r="1109" spans="3:3" x14ac:dyDescent="0.35">
      <c r="C1109" s="31"/>
    </row>
    <row r="1110" spans="3:3" x14ac:dyDescent="0.35">
      <c r="C1110" s="31"/>
    </row>
    <row r="1111" spans="3:3" x14ac:dyDescent="0.35">
      <c r="C1111" s="31"/>
    </row>
    <row r="1112" spans="3:3" x14ac:dyDescent="0.35">
      <c r="C1112" s="31"/>
    </row>
    <row r="1113" spans="3:3" x14ac:dyDescent="0.35">
      <c r="C1113" s="31"/>
    </row>
    <row r="1114" spans="3:3" x14ac:dyDescent="0.35">
      <c r="C1114" s="31"/>
    </row>
    <row r="1115" spans="3:3" x14ac:dyDescent="0.35">
      <c r="C1115" s="31"/>
    </row>
    <row r="1116" spans="3:3" x14ac:dyDescent="0.35">
      <c r="C1116" s="31"/>
    </row>
    <row r="1117" spans="3:3" x14ac:dyDescent="0.35">
      <c r="C1117" s="31"/>
    </row>
    <row r="1118" spans="3:3" x14ac:dyDescent="0.35">
      <c r="C1118" s="31"/>
    </row>
    <row r="1119" spans="3:3" x14ac:dyDescent="0.35">
      <c r="C1119" s="31"/>
    </row>
    <row r="1120" spans="3:3" x14ac:dyDescent="0.35">
      <c r="C1120" s="31"/>
    </row>
    <row r="1121" spans="3:3" x14ac:dyDescent="0.35">
      <c r="C1121" s="31"/>
    </row>
    <row r="1122" spans="3:3" x14ac:dyDescent="0.35">
      <c r="C1122" s="31"/>
    </row>
    <row r="1123" spans="3:3" x14ac:dyDescent="0.35">
      <c r="C1123" s="31"/>
    </row>
    <row r="1124" spans="3:3" x14ac:dyDescent="0.35">
      <c r="C1124" s="31"/>
    </row>
    <row r="1125" spans="3:3" x14ac:dyDescent="0.35">
      <c r="C1125" s="31"/>
    </row>
    <row r="1126" spans="3:3" x14ac:dyDescent="0.35">
      <c r="C1126" s="31"/>
    </row>
    <row r="1127" spans="3:3" x14ac:dyDescent="0.35">
      <c r="C1127" s="31"/>
    </row>
    <row r="1128" spans="3:3" x14ac:dyDescent="0.35">
      <c r="C1128" s="31"/>
    </row>
    <row r="1129" spans="3:3" x14ac:dyDescent="0.35">
      <c r="C1129" s="31"/>
    </row>
    <row r="1130" spans="3:3" x14ac:dyDescent="0.35">
      <c r="C1130" s="31"/>
    </row>
    <row r="1131" spans="3:3" x14ac:dyDescent="0.35">
      <c r="C1131" s="31"/>
    </row>
    <row r="1132" spans="3:3" x14ac:dyDescent="0.35">
      <c r="C1132" s="31"/>
    </row>
    <row r="1133" spans="3:3" x14ac:dyDescent="0.35">
      <c r="C1133" s="31"/>
    </row>
    <row r="1134" spans="3:3" x14ac:dyDescent="0.35">
      <c r="C1134" s="31"/>
    </row>
    <row r="1135" spans="3:3" x14ac:dyDescent="0.35">
      <c r="C1135" s="31"/>
    </row>
    <row r="1136" spans="3:3" x14ac:dyDescent="0.35">
      <c r="C1136" s="31"/>
    </row>
    <row r="1137" spans="3:3" x14ac:dyDescent="0.35">
      <c r="C1137" s="31"/>
    </row>
    <row r="1138" spans="3:3" x14ac:dyDescent="0.35">
      <c r="C1138" s="31"/>
    </row>
    <row r="1139" spans="3:3" x14ac:dyDescent="0.35">
      <c r="C1139" s="31"/>
    </row>
    <row r="1140" spans="3:3" x14ac:dyDescent="0.35">
      <c r="C1140" s="31"/>
    </row>
    <row r="1141" spans="3:3" x14ac:dyDescent="0.35">
      <c r="C1141" s="31"/>
    </row>
    <row r="1142" spans="3:3" x14ac:dyDescent="0.35">
      <c r="C1142" s="31"/>
    </row>
    <row r="1143" spans="3:3" x14ac:dyDescent="0.35">
      <c r="C1143" s="31"/>
    </row>
    <row r="1144" spans="3:3" x14ac:dyDescent="0.35">
      <c r="C1144" s="31"/>
    </row>
    <row r="1145" spans="3:3" x14ac:dyDescent="0.35">
      <c r="C1145" s="31"/>
    </row>
    <row r="1146" spans="3:3" x14ac:dyDescent="0.35">
      <c r="C1146" s="31"/>
    </row>
    <row r="1147" spans="3:3" x14ac:dyDescent="0.35">
      <c r="C1147" s="31"/>
    </row>
    <row r="1148" spans="3:3" x14ac:dyDescent="0.35">
      <c r="C1148" s="31"/>
    </row>
    <row r="1149" spans="3:3" x14ac:dyDescent="0.35">
      <c r="C1149" s="31"/>
    </row>
    <row r="1150" spans="3:3" x14ac:dyDescent="0.35">
      <c r="C1150" s="31"/>
    </row>
    <row r="1151" spans="3:3" x14ac:dyDescent="0.35">
      <c r="C1151" s="31"/>
    </row>
    <row r="1152" spans="3:3" x14ac:dyDescent="0.35">
      <c r="C1152" s="31"/>
    </row>
    <row r="1153" spans="3:3" x14ac:dyDescent="0.35">
      <c r="C1153" s="31"/>
    </row>
    <row r="1154" spans="3:3" x14ac:dyDescent="0.35">
      <c r="C1154" s="31"/>
    </row>
    <row r="1155" spans="3:3" x14ac:dyDescent="0.35">
      <c r="C1155" s="31"/>
    </row>
    <row r="1156" spans="3:3" x14ac:dyDescent="0.35">
      <c r="C1156" s="31"/>
    </row>
    <row r="1157" spans="3:3" x14ac:dyDescent="0.35">
      <c r="C1157" s="31"/>
    </row>
    <row r="1158" spans="3:3" x14ac:dyDescent="0.35">
      <c r="C1158" s="31"/>
    </row>
    <row r="1159" spans="3:3" x14ac:dyDescent="0.35">
      <c r="C1159" s="31"/>
    </row>
    <row r="1160" spans="3:3" x14ac:dyDescent="0.35">
      <c r="C1160" s="31"/>
    </row>
    <row r="1161" spans="3:3" x14ac:dyDescent="0.35">
      <c r="C1161" s="31"/>
    </row>
    <row r="1162" spans="3:3" x14ac:dyDescent="0.35">
      <c r="C1162" s="31"/>
    </row>
    <row r="1163" spans="3:3" x14ac:dyDescent="0.35">
      <c r="C1163" s="31"/>
    </row>
    <row r="1164" spans="3:3" x14ac:dyDescent="0.35">
      <c r="C1164" s="31"/>
    </row>
    <row r="1165" spans="3:3" x14ac:dyDescent="0.35">
      <c r="C1165" s="31"/>
    </row>
    <row r="1166" spans="3:3" x14ac:dyDescent="0.35">
      <c r="C1166" s="31"/>
    </row>
    <row r="1167" spans="3:3" x14ac:dyDescent="0.35">
      <c r="C1167" s="31"/>
    </row>
    <row r="1168" spans="3:3" x14ac:dyDescent="0.35">
      <c r="C1168" s="31"/>
    </row>
    <row r="1169" spans="3:3" x14ac:dyDescent="0.35">
      <c r="C1169" s="31"/>
    </row>
    <row r="1170" spans="3:3" x14ac:dyDescent="0.35">
      <c r="C1170" s="31"/>
    </row>
    <row r="1171" spans="3:3" x14ac:dyDescent="0.35">
      <c r="C1171" s="31"/>
    </row>
    <row r="1172" spans="3:3" x14ac:dyDescent="0.35">
      <c r="C1172" s="31"/>
    </row>
    <row r="1173" spans="3:3" x14ac:dyDescent="0.35">
      <c r="C1173" s="31"/>
    </row>
    <row r="1174" spans="3:3" x14ac:dyDescent="0.35">
      <c r="C1174" s="31"/>
    </row>
    <row r="1175" spans="3:3" x14ac:dyDescent="0.35">
      <c r="C1175" s="31"/>
    </row>
    <row r="1176" spans="3:3" x14ac:dyDescent="0.35">
      <c r="C1176" s="31"/>
    </row>
    <row r="1177" spans="3:3" x14ac:dyDescent="0.35">
      <c r="C1177" s="31"/>
    </row>
    <row r="1178" spans="3:3" x14ac:dyDescent="0.35">
      <c r="C1178" s="31"/>
    </row>
    <row r="1179" spans="3:3" x14ac:dyDescent="0.35">
      <c r="C1179" s="31"/>
    </row>
    <row r="1180" spans="3:3" x14ac:dyDescent="0.35">
      <c r="C1180" s="31"/>
    </row>
    <row r="1181" spans="3:3" x14ac:dyDescent="0.35">
      <c r="C1181" s="31"/>
    </row>
    <row r="1182" spans="3:3" x14ac:dyDescent="0.35">
      <c r="C1182" s="31"/>
    </row>
    <row r="1183" spans="3:3" x14ac:dyDescent="0.35">
      <c r="C1183" s="31"/>
    </row>
    <row r="1184" spans="3:3" x14ac:dyDescent="0.35">
      <c r="C1184" s="31"/>
    </row>
    <row r="1185" spans="3:3" x14ac:dyDescent="0.35">
      <c r="C1185" s="31"/>
    </row>
    <row r="1186" spans="3:3" x14ac:dyDescent="0.35">
      <c r="C1186" s="31"/>
    </row>
    <row r="1187" spans="3:3" x14ac:dyDescent="0.35">
      <c r="C1187" s="31"/>
    </row>
    <row r="1188" spans="3:3" x14ac:dyDescent="0.35">
      <c r="C1188" s="31"/>
    </row>
    <row r="1189" spans="3:3" x14ac:dyDescent="0.35">
      <c r="C1189" s="31"/>
    </row>
    <row r="1190" spans="3:3" x14ac:dyDescent="0.35">
      <c r="C1190" s="31"/>
    </row>
    <row r="1191" spans="3:3" x14ac:dyDescent="0.35">
      <c r="C1191" s="31"/>
    </row>
    <row r="1192" spans="3:3" x14ac:dyDescent="0.35">
      <c r="C1192" s="31"/>
    </row>
    <row r="1193" spans="3:3" x14ac:dyDescent="0.35">
      <c r="C1193" s="31"/>
    </row>
    <row r="1194" spans="3:3" x14ac:dyDescent="0.35">
      <c r="C1194" s="31"/>
    </row>
    <row r="1195" spans="3:3" x14ac:dyDescent="0.35">
      <c r="C1195" s="31"/>
    </row>
    <row r="1196" spans="3:3" x14ac:dyDescent="0.35">
      <c r="C1196" s="31"/>
    </row>
    <row r="1197" spans="3:3" x14ac:dyDescent="0.35">
      <c r="C1197" s="31"/>
    </row>
    <row r="1198" spans="3:3" x14ac:dyDescent="0.35">
      <c r="C1198" s="31"/>
    </row>
    <row r="1199" spans="3:3" x14ac:dyDescent="0.35">
      <c r="C1199" s="31"/>
    </row>
    <row r="1200" spans="3:3" x14ac:dyDescent="0.35">
      <c r="C1200" s="31"/>
    </row>
    <row r="1201" spans="3:3" x14ac:dyDescent="0.35">
      <c r="C1201" s="31"/>
    </row>
    <row r="1202" spans="3:3" x14ac:dyDescent="0.35">
      <c r="C1202" s="31"/>
    </row>
    <row r="1203" spans="3:3" x14ac:dyDescent="0.35">
      <c r="C1203" s="31"/>
    </row>
    <row r="1204" spans="3:3" x14ac:dyDescent="0.35">
      <c r="C1204" s="31"/>
    </row>
    <row r="1205" spans="3:3" x14ac:dyDescent="0.35">
      <c r="C1205" s="31"/>
    </row>
    <row r="1206" spans="3:3" x14ac:dyDescent="0.35">
      <c r="C1206" s="31"/>
    </row>
    <row r="1207" spans="3:3" x14ac:dyDescent="0.35">
      <c r="C1207" s="31"/>
    </row>
    <row r="1208" spans="3:3" x14ac:dyDescent="0.35">
      <c r="C1208" s="31"/>
    </row>
    <row r="1209" spans="3:3" x14ac:dyDescent="0.35">
      <c r="C1209" s="31"/>
    </row>
    <row r="1210" spans="3:3" x14ac:dyDescent="0.35">
      <c r="C1210" s="31"/>
    </row>
    <row r="1211" spans="3:3" x14ac:dyDescent="0.35">
      <c r="C1211" s="31"/>
    </row>
    <row r="1212" spans="3:3" x14ac:dyDescent="0.35">
      <c r="C1212" s="31"/>
    </row>
    <row r="1213" spans="3:3" x14ac:dyDescent="0.35">
      <c r="C1213" s="31"/>
    </row>
    <row r="1214" spans="3:3" x14ac:dyDescent="0.35">
      <c r="C1214" s="31"/>
    </row>
    <row r="1215" spans="3:3" x14ac:dyDescent="0.35">
      <c r="C1215" s="31"/>
    </row>
    <row r="1216" spans="3:3" x14ac:dyDescent="0.35">
      <c r="C1216" s="31"/>
    </row>
    <row r="1217" spans="3:3" x14ac:dyDescent="0.35">
      <c r="C1217" s="31"/>
    </row>
    <row r="1218" spans="3:3" x14ac:dyDescent="0.35">
      <c r="C1218" s="31"/>
    </row>
    <row r="1219" spans="3:3" x14ac:dyDescent="0.35">
      <c r="C1219" s="31"/>
    </row>
    <row r="1220" spans="3:3" x14ac:dyDescent="0.35">
      <c r="C1220" s="31"/>
    </row>
    <row r="1221" spans="3:3" x14ac:dyDescent="0.35">
      <c r="C1221" s="31"/>
    </row>
    <row r="1222" spans="3:3" x14ac:dyDescent="0.35">
      <c r="C1222" s="31"/>
    </row>
    <row r="1223" spans="3:3" x14ac:dyDescent="0.35">
      <c r="C1223" s="31"/>
    </row>
    <row r="1224" spans="3:3" x14ac:dyDescent="0.35">
      <c r="C1224" s="31"/>
    </row>
    <row r="1225" spans="3:3" x14ac:dyDescent="0.35">
      <c r="C1225" s="31"/>
    </row>
    <row r="1226" spans="3:3" x14ac:dyDescent="0.35">
      <c r="C1226" s="31"/>
    </row>
    <row r="1227" spans="3:3" x14ac:dyDescent="0.35">
      <c r="C1227" s="31"/>
    </row>
    <row r="1228" spans="3:3" x14ac:dyDescent="0.35">
      <c r="C1228" s="31"/>
    </row>
    <row r="1229" spans="3:3" x14ac:dyDescent="0.35">
      <c r="C1229" s="31"/>
    </row>
    <row r="1230" spans="3:3" x14ac:dyDescent="0.35">
      <c r="C1230" s="31"/>
    </row>
    <row r="1231" spans="3:3" x14ac:dyDescent="0.35">
      <c r="C1231" s="31"/>
    </row>
    <row r="1232" spans="3:3" x14ac:dyDescent="0.35">
      <c r="C1232" s="31"/>
    </row>
    <row r="1233" spans="3:3" x14ac:dyDescent="0.35">
      <c r="C1233" s="31"/>
    </row>
    <row r="1234" spans="3:3" x14ac:dyDescent="0.35">
      <c r="C1234" s="31"/>
    </row>
    <row r="1235" spans="3:3" x14ac:dyDescent="0.35">
      <c r="C1235" s="31"/>
    </row>
    <row r="1236" spans="3:3" x14ac:dyDescent="0.35">
      <c r="C1236" s="31"/>
    </row>
    <row r="1237" spans="3:3" x14ac:dyDescent="0.35">
      <c r="C1237" s="31"/>
    </row>
    <row r="1238" spans="3:3" x14ac:dyDescent="0.35">
      <c r="C1238" s="31"/>
    </row>
    <row r="1239" spans="3:3" x14ac:dyDescent="0.35">
      <c r="C1239" s="31"/>
    </row>
    <row r="1240" spans="3:3" x14ac:dyDescent="0.35">
      <c r="C1240" s="31"/>
    </row>
    <row r="1241" spans="3:3" x14ac:dyDescent="0.35">
      <c r="C1241" s="31"/>
    </row>
    <row r="1242" spans="3:3" x14ac:dyDescent="0.35">
      <c r="C1242" s="31"/>
    </row>
    <row r="1243" spans="3:3" x14ac:dyDescent="0.35">
      <c r="C1243" s="31"/>
    </row>
    <row r="1244" spans="3:3" x14ac:dyDescent="0.35">
      <c r="C1244" s="31"/>
    </row>
    <row r="1245" spans="3:3" x14ac:dyDescent="0.35">
      <c r="C1245" s="31"/>
    </row>
    <row r="1246" spans="3:3" x14ac:dyDescent="0.35">
      <c r="C1246" s="31"/>
    </row>
    <row r="1247" spans="3:3" x14ac:dyDescent="0.35">
      <c r="C1247" s="31"/>
    </row>
    <row r="1248" spans="3:3" x14ac:dyDescent="0.35">
      <c r="C1248" s="31"/>
    </row>
    <row r="1249" spans="3:3" x14ac:dyDescent="0.35">
      <c r="C1249" s="31"/>
    </row>
    <row r="1250" spans="3:3" x14ac:dyDescent="0.35">
      <c r="C1250" s="31"/>
    </row>
    <row r="1251" spans="3:3" x14ac:dyDescent="0.35">
      <c r="C1251" s="31"/>
    </row>
    <row r="1252" spans="3:3" x14ac:dyDescent="0.35">
      <c r="C1252" s="31"/>
    </row>
    <row r="1253" spans="3:3" x14ac:dyDescent="0.35">
      <c r="C1253" s="31"/>
    </row>
    <row r="1254" spans="3:3" x14ac:dyDescent="0.35">
      <c r="C1254" s="31"/>
    </row>
    <row r="1255" spans="3:3" x14ac:dyDescent="0.35">
      <c r="C1255" s="31"/>
    </row>
    <row r="1256" spans="3:3" x14ac:dyDescent="0.35">
      <c r="C1256" s="31"/>
    </row>
    <row r="1257" spans="3:3" x14ac:dyDescent="0.35">
      <c r="C1257" s="31"/>
    </row>
    <row r="1258" spans="3:3" x14ac:dyDescent="0.35">
      <c r="C1258" s="31"/>
    </row>
    <row r="1259" spans="3:3" x14ac:dyDescent="0.35">
      <c r="C1259" s="31"/>
    </row>
    <row r="1260" spans="3:3" x14ac:dyDescent="0.35">
      <c r="C1260" s="31"/>
    </row>
    <row r="1261" spans="3:3" x14ac:dyDescent="0.35">
      <c r="C1261" s="31"/>
    </row>
    <row r="1262" spans="3:3" x14ac:dyDescent="0.35">
      <c r="C1262" s="31"/>
    </row>
    <row r="1263" spans="3:3" x14ac:dyDescent="0.35">
      <c r="C1263" s="31"/>
    </row>
    <row r="1264" spans="3:3" x14ac:dyDescent="0.35">
      <c r="C1264" s="31"/>
    </row>
    <row r="1265" spans="3:3" x14ac:dyDescent="0.35">
      <c r="C1265" s="31"/>
    </row>
    <row r="1266" spans="3:3" x14ac:dyDescent="0.35">
      <c r="C1266" s="31"/>
    </row>
    <row r="1267" spans="3:3" x14ac:dyDescent="0.35">
      <c r="C1267" s="31"/>
    </row>
    <row r="1268" spans="3:3" x14ac:dyDescent="0.35">
      <c r="C1268" s="31"/>
    </row>
    <row r="1269" spans="3:3" x14ac:dyDescent="0.35">
      <c r="C1269" s="31"/>
    </row>
    <row r="1270" spans="3:3" x14ac:dyDescent="0.35">
      <c r="C1270" s="31"/>
    </row>
    <row r="1271" spans="3:3" x14ac:dyDescent="0.35">
      <c r="C1271" s="31"/>
    </row>
    <row r="1272" spans="3:3" x14ac:dyDescent="0.35">
      <c r="C1272" s="31"/>
    </row>
    <row r="1273" spans="3:3" x14ac:dyDescent="0.35">
      <c r="C1273" s="31"/>
    </row>
    <row r="1274" spans="3:3" x14ac:dyDescent="0.35">
      <c r="C1274" s="31"/>
    </row>
    <row r="1275" spans="3:3" x14ac:dyDescent="0.35">
      <c r="C1275" s="31"/>
    </row>
    <row r="1276" spans="3:3" x14ac:dyDescent="0.35">
      <c r="C1276" s="31"/>
    </row>
    <row r="1277" spans="3:3" x14ac:dyDescent="0.35">
      <c r="C1277" s="31"/>
    </row>
    <row r="1278" spans="3:3" x14ac:dyDescent="0.35">
      <c r="C1278" s="31"/>
    </row>
    <row r="1279" spans="3:3" x14ac:dyDescent="0.35">
      <c r="C1279" s="31"/>
    </row>
    <row r="1280" spans="3:3" x14ac:dyDescent="0.35">
      <c r="C1280" s="31"/>
    </row>
    <row r="1281" spans="3:3" x14ac:dyDescent="0.35">
      <c r="C1281" s="31"/>
    </row>
    <row r="1282" spans="3:3" x14ac:dyDescent="0.35">
      <c r="C1282" s="31"/>
    </row>
    <row r="1283" spans="3:3" x14ac:dyDescent="0.35">
      <c r="C1283" s="31"/>
    </row>
    <row r="1284" spans="3:3" x14ac:dyDescent="0.35">
      <c r="C1284" s="31"/>
    </row>
    <row r="1285" spans="3:3" x14ac:dyDescent="0.35">
      <c r="C1285" s="31"/>
    </row>
    <row r="1286" spans="3:3" x14ac:dyDescent="0.35">
      <c r="C1286" s="31"/>
    </row>
    <row r="1287" spans="3:3" x14ac:dyDescent="0.35">
      <c r="C1287" s="31"/>
    </row>
    <row r="1288" spans="3:3" x14ac:dyDescent="0.35">
      <c r="C1288" s="31"/>
    </row>
    <row r="1289" spans="3:3" x14ac:dyDescent="0.35">
      <c r="C1289" s="31"/>
    </row>
    <row r="1290" spans="3:3" x14ac:dyDescent="0.35">
      <c r="C1290" s="31"/>
    </row>
    <row r="1291" spans="3:3" x14ac:dyDescent="0.35">
      <c r="C1291" s="31"/>
    </row>
    <row r="1292" spans="3:3" x14ac:dyDescent="0.35">
      <c r="C1292" s="31"/>
    </row>
    <row r="1293" spans="3:3" x14ac:dyDescent="0.35">
      <c r="C1293" s="31"/>
    </row>
    <row r="1294" spans="3:3" x14ac:dyDescent="0.35">
      <c r="C1294" s="31"/>
    </row>
    <row r="1295" spans="3:3" x14ac:dyDescent="0.35">
      <c r="C1295" s="31"/>
    </row>
    <row r="1296" spans="3:3" x14ac:dyDescent="0.35">
      <c r="C1296" s="31"/>
    </row>
    <row r="1297" spans="3:3" x14ac:dyDescent="0.35">
      <c r="C1297" s="31"/>
    </row>
    <row r="1298" spans="3:3" x14ac:dyDescent="0.35">
      <c r="C1298" s="31"/>
    </row>
    <row r="1299" spans="3:3" x14ac:dyDescent="0.35">
      <c r="C1299" s="31"/>
    </row>
    <row r="1300" spans="3:3" x14ac:dyDescent="0.35">
      <c r="C1300" s="31"/>
    </row>
    <row r="1301" spans="3:3" x14ac:dyDescent="0.35">
      <c r="C1301" s="31"/>
    </row>
    <row r="1302" spans="3:3" x14ac:dyDescent="0.35">
      <c r="C1302" s="31"/>
    </row>
    <row r="1303" spans="3:3" x14ac:dyDescent="0.35">
      <c r="C1303" s="31"/>
    </row>
    <row r="1304" spans="3:3" x14ac:dyDescent="0.35">
      <c r="C1304" s="31"/>
    </row>
    <row r="1305" spans="3:3" x14ac:dyDescent="0.35">
      <c r="C1305" s="31"/>
    </row>
    <row r="1306" spans="3:3" x14ac:dyDescent="0.35">
      <c r="C1306" s="31"/>
    </row>
    <row r="1307" spans="3:3" x14ac:dyDescent="0.35">
      <c r="C1307" s="31"/>
    </row>
    <row r="1308" spans="3:3" x14ac:dyDescent="0.35">
      <c r="C1308" s="31"/>
    </row>
    <row r="1309" spans="3:3" x14ac:dyDescent="0.35">
      <c r="C1309" s="31"/>
    </row>
    <row r="1310" spans="3:3" x14ac:dyDescent="0.35">
      <c r="C1310" s="31"/>
    </row>
    <row r="1311" spans="3:3" x14ac:dyDescent="0.35">
      <c r="C1311" s="31"/>
    </row>
    <row r="1312" spans="3:3" x14ac:dyDescent="0.35">
      <c r="C1312" s="31"/>
    </row>
    <row r="1313" spans="3:3" x14ac:dyDescent="0.35">
      <c r="C1313" s="31"/>
    </row>
    <row r="1314" spans="3:3" x14ac:dyDescent="0.35">
      <c r="C1314" s="31"/>
    </row>
    <row r="1315" spans="3:3" x14ac:dyDescent="0.35">
      <c r="C1315" s="31"/>
    </row>
    <row r="1316" spans="3:3" x14ac:dyDescent="0.35">
      <c r="C1316" s="31"/>
    </row>
    <row r="1317" spans="3:3" x14ac:dyDescent="0.35">
      <c r="C1317" s="31"/>
    </row>
    <row r="1318" spans="3:3" x14ac:dyDescent="0.35">
      <c r="C1318" s="31"/>
    </row>
    <row r="1319" spans="3:3" x14ac:dyDescent="0.35">
      <c r="C1319" s="31"/>
    </row>
    <row r="1320" spans="3:3" x14ac:dyDescent="0.35">
      <c r="C1320" s="31"/>
    </row>
    <row r="1321" spans="3:3" x14ac:dyDescent="0.35">
      <c r="C1321" s="31"/>
    </row>
    <row r="1322" spans="3:3" x14ac:dyDescent="0.35">
      <c r="C1322" s="31"/>
    </row>
    <row r="1323" spans="3:3" x14ac:dyDescent="0.35">
      <c r="C1323" s="31"/>
    </row>
    <row r="1324" spans="3:3" x14ac:dyDescent="0.35">
      <c r="C1324" s="31"/>
    </row>
    <row r="1325" spans="3:3" x14ac:dyDescent="0.35">
      <c r="C1325" s="31"/>
    </row>
    <row r="1326" spans="3:3" x14ac:dyDescent="0.35">
      <c r="C1326" s="31"/>
    </row>
    <row r="1327" spans="3:3" x14ac:dyDescent="0.35">
      <c r="C1327" s="31"/>
    </row>
    <row r="1328" spans="3:3" x14ac:dyDescent="0.35">
      <c r="C1328" s="31"/>
    </row>
    <row r="1329" spans="3:3" x14ac:dyDescent="0.35">
      <c r="C1329" s="31"/>
    </row>
    <row r="1330" spans="3:3" x14ac:dyDescent="0.35">
      <c r="C1330" s="31"/>
    </row>
    <row r="1331" spans="3:3" x14ac:dyDescent="0.35">
      <c r="C1331" s="31"/>
    </row>
    <row r="1332" spans="3:3" x14ac:dyDescent="0.35">
      <c r="C1332" s="31"/>
    </row>
    <row r="1333" spans="3:3" x14ac:dyDescent="0.35">
      <c r="C1333" s="31"/>
    </row>
    <row r="1334" spans="3:3" x14ac:dyDescent="0.35">
      <c r="C1334" s="31"/>
    </row>
    <row r="1335" spans="3:3" x14ac:dyDescent="0.35">
      <c r="C1335" s="31"/>
    </row>
    <row r="1336" spans="3:3" x14ac:dyDescent="0.35">
      <c r="C1336" s="31"/>
    </row>
    <row r="1337" spans="3:3" x14ac:dyDescent="0.35">
      <c r="C1337" s="31"/>
    </row>
    <row r="1338" spans="3:3" x14ac:dyDescent="0.35">
      <c r="C1338" s="31"/>
    </row>
    <row r="1339" spans="3:3" x14ac:dyDescent="0.35">
      <c r="C1339" s="31"/>
    </row>
    <row r="1340" spans="3:3" x14ac:dyDescent="0.35">
      <c r="C1340" s="31"/>
    </row>
    <row r="1341" spans="3:3" x14ac:dyDescent="0.35">
      <c r="C1341" s="31"/>
    </row>
    <row r="1342" spans="3:3" x14ac:dyDescent="0.35">
      <c r="C1342" s="31"/>
    </row>
    <row r="1343" spans="3:3" x14ac:dyDescent="0.35">
      <c r="C1343" s="31"/>
    </row>
    <row r="1344" spans="3:3" x14ac:dyDescent="0.35">
      <c r="C1344" s="31"/>
    </row>
    <row r="1345" spans="3:3" x14ac:dyDescent="0.35">
      <c r="C1345" s="31"/>
    </row>
    <row r="1346" spans="3:3" x14ac:dyDescent="0.35">
      <c r="C1346" s="31"/>
    </row>
    <row r="1347" spans="3:3" x14ac:dyDescent="0.35">
      <c r="C1347" s="31"/>
    </row>
    <row r="1348" spans="3:3" x14ac:dyDescent="0.35">
      <c r="C1348" s="31"/>
    </row>
    <row r="1349" spans="3:3" x14ac:dyDescent="0.35">
      <c r="C1349" s="31"/>
    </row>
    <row r="1350" spans="3:3" x14ac:dyDescent="0.35">
      <c r="C1350" s="3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Abiven</dc:creator>
  <cp:lastModifiedBy>Philippe Abiven</cp:lastModifiedBy>
  <dcterms:created xsi:type="dcterms:W3CDTF">2020-05-22T14:28:14Z</dcterms:created>
  <dcterms:modified xsi:type="dcterms:W3CDTF">2020-05-22T14:47:57Z</dcterms:modified>
</cp:coreProperties>
</file>